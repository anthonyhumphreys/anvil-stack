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a64772531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073f3c1de847b2"/>
    <x:sheet xmlns:r="http://schemas.openxmlformats.org/officeDocument/2006/relationships" name="Assumptions" sheetId="2" r:id="Rf07d8f343a7549b8"/>
    <x:sheet xmlns:r="http://schemas.openxmlformats.org/officeDocument/2006/relationships" name="Forecast" sheetId="3" r:id="R451861458fd447f5"/>
    <x:sheet xmlns:r="http://schemas.openxmlformats.org/officeDocument/2006/relationships" name="Agent economics" sheetId="4" r:id="R7af76d480e71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mmm-yy"/>
    <x:numFmt numFmtId="201" formatCode="#,##0;(#,##0);&quot;-&quot;"/>
    <x:numFmt numFmtId="202" formatCode="0.0%;(0.0%);&quot;-&quot;"/>
    <x:numFmt numFmtId="203" formatCode="0.0000"/>
    <x:numFmt numFmtId="204" formatCode="d-mmm-yyyy"/>
    <x:numFmt numFmtId="205" formatCode="0.000000"/>
    <x:numFmt numFmtId="206" formatCode="&quot;£&quot;#,##0;(&quot;£&quot;#,##0);&quot;-&quot;"/>
    <x:numFmt numFmtId="207" formatCode="0.00"/>
    <x:numFmt numFmtId="208" formatCode="&quot;$&quot;0.0000"/>
    <x:numFmt numFmtId="209" formatCode="&quot;£&quot;0.0000"/>
    <x:numFmt numFmtId="210" formatCode="&quot;£&quot;0.00"/>
    <x:numFmt numFmtId="211" formatCode="&quot;$&quot;#,##0"/>
  </x:numFmts>
  <x:fonts count="8">
    <x:font>
      <x:sz val="11"/>
      <x:name val="Carlito"/>
    </x:font>
    <x:font>
      <x:sz val="10"/>
      <x:color rgb="FF111827"/>
      <x:name val="Arial"/>
    </x:font>
    <x:font>
      <x:b/>
      <x:sz val="14"/>
      <x:color rgb="FF111827"/>
      <x:name val="Arial"/>
    </x:font>
    <x:font>
      <x:sz val="10"/>
      <x:color rgb="FF008000"/>
      <x:name val="Arial"/>
    </x:font>
    <x:font>
      <x:b/>
      <x:sz val="10"/>
      <x:color rgb="FF0000FF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i/>
      <x:sz val="10"/>
      <x:color rgb="FF47556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243746"/>
      </x:patternFill>
    </x:fill>
  </x:fills>
  <x:borders count="5">
    <x:border/>
    <x:border>
      <x:bottom style="thin">
        <x:color rgb="FF64748B"/>
      </x:bottom>
    </x:border>
    <x:border>
      <x:left style="dotted">
        <x:color rgb="FF64748B"/>
      </x:left>
      <x:top style="dotted">
        <x:color rgb="FF64748B"/>
      </x:top>
      <x:bottom style="dotted">
        <x:color rgb="FF64748B"/>
      </x:bottom>
    </x:border>
    <x:border>
      <x:top style="dotted">
        <x:color rgb="FF64748B"/>
      </x:top>
      <x:bottom style="dotted">
        <x:color rgb="FF64748B"/>
      </x:bottom>
    </x:border>
    <x:border>
      <x:right style="dotted">
        <x:color rgb="FF64748B"/>
      </x:right>
      <x:top style="dotted">
        <x:color rgb="FF64748B"/>
      </x:top>
      <x:bottom style="dotted">
        <x:color rgb="FF64748B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2" xfId="0" applyNumberFormat="1" applyFont="1" applyFill="1" applyBorder="1"/>
    <x:xf numFmtId="0" fontId="0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200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201" fontId="1" fillId="0" borderId="0" xfId="0" applyNumberFormat="1" applyFont="1" applyFill="1" applyBorder="1"/>
    <x:xf numFmtId="201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5" fillId="0" borderId="0" xfId="0" applyNumberFormat="1" applyFont="1" applyFill="1" applyBorder="1"/>
    <x:xf numFmtId="203" fontId="1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1" fillId="0" borderId="0" xfId="0" applyNumberFormat="1" applyFont="1" applyFill="1" applyBorder="1"/>
    <x:xf numFmtId="207" fontId="3" fillId="0" borderId="0" xfId="0" applyNumberFormat="1" applyFont="1" applyFill="1" applyBorder="1"/>
    <x:xf numFmtId="208" fontId="3" fillId="0" borderId="0" xfId="0" applyNumberFormat="1" applyFont="1" applyFill="1" applyBorder="1"/>
    <x:xf numFmtId="208" fontId="1" fillId="0" borderId="0" xfId="0" applyNumberFormat="1" applyFont="1" applyFill="1" applyBorder="1"/>
    <x:xf numFmtId="209" fontId="3" fillId="0" borderId="0" xfId="0" applyNumberFormat="1" applyFont="1" applyFill="1" applyBorder="1"/>
    <x:xf numFmtId="206" fontId="3" fillId="0" borderId="0" xfId="0" applyNumberFormat="1" applyFont="1" applyFill="1" applyBorder="1"/>
    <x:xf numFmtId="21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10" fontId="1" fillId="0" borderId="0" xfId="0" applyNumberFormat="1" applyFont="1" applyFill="1" applyBorder="1"/>
    <x:xf numFmtId="0" fontId="7" fillId="0" borderId="0" xfId="0" applyNumberFormat="1" applyFont="1" applyFill="1" applyBorder="1"/>
    <x:xf numFmtId="211" fontId="3" fillId="0" borderId="0" xfId="0" applyNumberFormat="1" applyFont="1" applyFill="1" applyBorder="1"/>
    <x:xf numFmtId="211" fontId="1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a8bfdab714f9b" /><Relationship Type="http://schemas.openxmlformats.org/officeDocument/2006/relationships/theme" Target="/xl/theme/theme1.xml" Id="Reba935a73d9f4f4c" /><Relationship Type="http://schemas.openxmlformats.org/officeDocument/2006/relationships/sharedStrings" Target="/xl/sharedStrings.xml" Id="R013443c5381d4a67" /><Relationship Type="http://schemas.openxmlformats.org/officeDocument/2006/relationships/worksheet" Target="/xl/worksheets/sheet1.xml" Id="Rb3073f3c1de847b2" /><Relationship Type="http://schemas.openxmlformats.org/officeDocument/2006/relationships/worksheet" Target="/xl/worksheets/sheet2.xml" Id="Rf07d8f343a7549b8" /><Relationship Type="http://schemas.openxmlformats.org/officeDocument/2006/relationships/worksheet" Target="/xl/worksheets/sheet3.xml" Id="R451861458fd447f5" /><Relationship Type="http://schemas.openxmlformats.org/officeDocument/2006/relationships/worksheet" Target="/xl/worksheets/sheet4.xml" Id="R7af76d480e7146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a5c62f3f6f4a31" /><Relationship Type="http://schemas.openxmlformats.org/officeDocument/2006/relationships/chart" Target="/xl/drawings/charts/chart2.xml" Id="Rdf8b5c7b57be45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external and allocated cost (GBP)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External spend GBP</c:v>
          </c:tx>
          <c:spPr>
            <a:ln xmlns:a="http://schemas.openxmlformats.org/drawingml/2006/main" w="19050">
              <a:solidFill>
                <a:srgbClr val="2B6CB0"/>
              </a:solidFill>
              <a:prstDash val="solid"/>
            </a:ln>
          </c:spPr>
          <c:marker>
            <c:symbol val="none"/>
          </c:marker>
          <c:cat>
            <c:strRef>
              <c:f>'Summary'!$C$28:$C$39</c:f>
              <c:strCache>
                <c:ptCount val="0"/>
              </c:strCache>
            </c:strRef>
          </c:cat>
          <c:val>
            <c:numRef>
              <c:f>'Summary'!$D$28:$D$39</c:f>
              <c:numCache>
                <c:formatCode>£#,##0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Total allocated GBP</c:v>
          </c:tx>
          <c:spPr>
            <a:ln xmlns:a="http://schemas.openxmlformats.org/drawingml/2006/main" w="19050">
              <a:solidFill>
                <a:srgbClr val="A55B2A"/>
              </a:solidFill>
              <a:prstDash val="solid"/>
            </a:ln>
          </c:spPr>
          <c:marker>
            <c:symbol val="none"/>
          </c:marker>
          <c:cat>
            <c:strRef>
              <c:f>'Summary'!$C$28:$C$39</c:f>
              <c:strCache>
                <c:ptCount val="0"/>
              </c:strCache>
            </c:strRef>
          </c:cat>
          <c:val>
            <c:numRef>
              <c:f>'Summary'!$E$28:$E$39</c:f>
              <c:numCache>
                <c:formatCode>£#,##0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£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Closing credit USD (unused credit expires in Sep)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Credit USD</c:v>
          </c:tx>
          <c:spPr>
            <a:ln xmlns:a="http://schemas.openxmlformats.org/drawingml/2006/main" w="19050">
              <a:solidFill>
                <a:srgbClr val="2B6CB0"/>
              </a:solidFill>
              <a:prstDash val="solid"/>
            </a:ln>
          </c:spPr>
          <c:marker>
            <c:symbol val="none"/>
          </c:marker>
          <c:cat>
            <c:strRef>
              <c:f>'Summary'!$C$28:$C$39</c:f>
              <c:strCache>
                <c:ptCount val="0"/>
              </c:strCache>
            </c:strRef>
          </c:cat>
          <c:val>
            <c:numRef>
              <c:f>'Summary'!$G$28:$G$39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a5c62f3f6f4a3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17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8b5c7b57be45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9d632f8422404b" /></Relationships>
</file>

<file path=xl/worksheets/sheet1.xml><?xml version="1.0" encoding="utf-8"?>
<x:worksheet xmlns:x="http://schemas.openxmlformats.org/spreadsheetml/2006/main">
  <x:sheetPr>
    <x:tabColor rgb="FF243746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6" hidden="0" customWidth="1"/>
    <x:col min="5" max="5" width="20" hidden="0" customWidth="1"/>
    <x:col min="6" max="6" width="13" hidden="0" customWidth="1"/>
    <x:col min="7" max="7" width="15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"/>
      <x:c r="B2" s="1"/>
      <x:c r="C2" s="2" t="str">
        <x:v>Anvil FinOps projection (GBP)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1" customHeight="1">
      <x:c r="A4" s="1"/>
      <x:c r="B4" s="1"/>
      <x:c r="C4" s="1" t="str">
        <x:v>Case selected:</x:v>
      </x:c>
      <x:c r="D4" s="1"/>
      <x:c r="E4" s="1"/>
      <x:c r="F4" s="5" t="str">
        <x:f>'Assumptions'!F4</x:f>
        <x:v>Initial polling increment</x:v>
      </x:c>
      <x:c r="G4" s="6"/>
      <x:c r="H4" s="6"/>
      <x:c r="I4" s="7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4" customHeight="1">
      <x:c r="A6" s="1"/>
      <x:c r="B6" s="1"/>
      <x:c r="C6" s="17" t="str">
        <x:v>4 October 2026 to 30 September 2027</x:v>
      </x:c>
      <x:c r="D6" s="17"/>
      <x:c r="E6" s="17"/>
      <x:c r="F6" s="17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1"/>
      <x:c r="B7" s="1"/>
      <x:c r="C7" s="1"/>
      <x:c r="D7" s="1" t="str">
        <x:v>12 months</x:v>
      </x:c>
      <x:c r="E7" s="1"/>
      <x:c r="F7" s="1" t="str">
        <x:v>Sep-27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1" customHeight="1">
      <x:c r="A8" s="1"/>
      <x:c r="B8" s="1"/>
      <x:c r="C8" s="1" t="str">
        <x:v>Free service external spend</x:v>
      </x:c>
      <x:c r="D8" s="26" t="n">
        <x:f>'Forecast'!D92</x:f>
        <x:v>2826.3577562500004</x:v>
      </x:c>
      <x:c r="E8" s="26"/>
      <x:c r="F8" s="26" t="n">
        <x:f>'Forecast'!Q92</x:f>
        <x:v>396.63025000000005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1" customHeight="1">
      <x:c r="A9" s="1"/>
      <x:c r="B9" s="1"/>
      <x:c r="C9" s="1" t="str">
        <x:v>External-cost reserve incl. contingency</x:v>
      </x:c>
      <x:c r="D9" s="26" t="n">
        <x:f>'Forecast'!D106</x:f>
        <x:v>3532.9471953125003</x:v>
      </x:c>
      <x:c r="E9" s="26"/>
      <x:c r="F9" s="26" t="n">
        <x:f>'Forecast'!Q106</x:f>
        <x:v>495.7878125000001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1" customHeight="1">
      <x:c r="A10" s="1"/>
      <x:c r="B10" s="1"/>
      <x:c r="C10" s="1" t="str">
        <x:v>Operator and incident time</x:v>
      </x:c>
      <x:c r="D10" s="26" t="n">
        <x:f>'Forecast'!D101</x:f>
        <x:v>8640</x:v>
      </x:c>
      <x:c r="E10" s="26"/>
      <x:c r="F10" s="26" t="n">
        <x:f>'Forecast'!Q101</x:f>
        <x:v>720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1" customHeight="1">
      <x:c r="A11" s="1"/>
      <x:c r="B11" s="1"/>
      <x:c r="C11" s="1" t="str">
        <x:v>Free-user support time</x:v>
      </x:c>
      <x:c r="D11" s="26" t="n">
        <x:f>'Forecast'!D102</x:f>
        <x:v>5336</x:v>
      </x:c>
      <x:c r="E11" s="26"/>
      <x:c r="F11" s="26" t="n">
        <x:f>'Forecast'!Q102</x:f>
        <x:v>800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1" customHeight="1">
      <x:c r="A12" s="1"/>
      <x:c r="B12" s="1"/>
      <x:c r="C12" s="1" t="str">
        <x:v>One-time measurement work</x:v>
      </x:c>
      <x:c r="D12" s="26" t="n">
        <x:f>'Forecast'!D103</x:f>
        <x:v>1440</x:v>
      </x:c>
      <x:c r="E12" s="26"/>
      <x:c r="F12" s="26" t="n">
        <x:f>'Forecast'!Q103</x:f>
        <x:v>0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1" customHeight="1">
      <x:c r="A13" s="1"/>
      <x:c r="B13" s="1"/>
      <x:c r="C13" s="1" t="str">
        <x:v>Total including allocated time</x:v>
      </x:c>
      <x:c r="D13" s="26" t="n">
        <x:f>'Forecast'!D104</x:f>
        <x:v>18242.35775625</x:v>
      </x:c>
      <x:c r="E13" s="26"/>
      <x:c r="F13" s="26" t="n">
        <x:f>'Forecast'!Q104</x:f>
        <x:v>1916.6302500000002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1" customHeight="1">
      <x:c r="A14" s="1"/>
      <x:c r="B14" s="1"/>
      <x:c r="C14" s="1" t="str">
        <x:v>Cloud Agents revenue earned</x:v>
      </x:c>
      <x:c r="D14" s="26" t="n">
        <x:f>'Forecast'!D95</x:f>
        <x:v>0</x:v>
      </x:c>
      <x:c r="E14" s="26"/>
      <x:c r="F14" s="26" t="n">
        <x:f>'Forecast'!Q95</x:f>
        <x:v>0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1" t="str">
        <x:v>Cloud Agents contribution</x:v>
      </x:c>
      <x:c r="D15" s="26" t="n">
        <x:f>'Forecast'!D99</x:f>
        <x:v>0</x:v>
      </x:c>
      <x:c r="E15" s="26"/>
      <x:c r="F15" s="26" t="n">
        <x:f>'Forecast'!Q99</x:f>
        <x:v>0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 t="str">
        <x:v>Cost after Agents contribution</x:v>
      </x:c>
      <x:c r="D16" s="26" t="n">
        <x:f>'Forecast'!D105</x:f>
        <x:v>18242.35775625</x:v>
      </x:c>
      <x:c r="E16" s="26"/>
      <x:c r="F16" s="26" t="n">
        <x:f>'Forecast'!Q105</x:f>
        <x:v>1916.6302500000002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 t="str">
        <x:v>Provider/tool cash after CF credit</x:v>
      </x:c>
      <x:c r="D17" s="26" t="n">
        <x:f>'Forecast'!D115</x:f>
        <x:v>705.9731083333334</x:v>
      </x:c>
      <x:c r="E17" s="26"/>
      <x:c r="F17" s="26" t="n">
        <x:f>'Forecast'!Q115</x:f>
        <x:v>205.87310833333336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 t="str">
        <x:v>Cloudflare credit used (USD)</x:v>
      </x:c>
      <x:c r="D18" s="38" t="n">
        <x:f>'Forecast'!D111</x:f>
        <x:v>2827.179530555556</x:v>
      </x:c>
      <x:c r="E18" s="38"/>
      <x:c r="F18" s="38" t="n">
        <x:f>'Forecast'!Q111</x:f>
        <x:v>254.34285555555562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 t="str">
        <x:v>Cloud Agents launch month</x:v>
      </x:c>
      <x:c r="D19" s="1"/>
      <x:c r="E19" s="1"/>
      <x:c r="F19" s="1" t="n">
        <x:f>'Assumptions'!$E$68</x:f>
        <x:v>0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 t="str">
        <x:v>Retained accounts at September</x:v>
      </x:c>
      <x:c r="D20" s="1"/>
      <x:c r="E20" s="1"/>
      <x:c r="F20" s="18" t="n">
        <x:f>'Forecast'!Q10</x:f>
        <x:v>20000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 t="str">
        <x:v>External-cost reserve remaining</x:v>
      </x:c>
      <x:c r="D21" s="1"/>
      <x:c r="E21" s="1"/>
      <x:c r="F21" s="26" t="n">
        <x:f>'Forecast'!Q107</x:f>
        <x:v>1467.0528046875002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1" customHeight="1">
      <x:c r="A22" s="1"/>
      <x:c r="B22" s="1"/>
      <x:c r="C22" s="1" t="str">
        <x:v>Unused credit expired (USD)</x:v>
      </x:c>
      <x:c r="D22" s="38" t="n">
        <x:f>'Forecast'!D112</x:f>
        <x:v>7172.820469444442</x:v>
      </x:c>
      <x:c r="E22" s="38"/>
      <x:c r="F22" s="38" t="n">
        <x:f>'Forecast'!Q112</x:f>
        <x:v>7172.820469444442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36" t="str">
        <x:v>Labour is allocated time unless paid-labour share is increased. Revenue excludes unused credit.</x:v>
      </x:c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</x:row>
    <x:row r="24" ht="21" customHeight="1">
      <x:c r="A24" s="1"/>
      <x:c r="B24" s="1"/>
      <x:c r="C24" s="36" t="str">
        <x:v>Hybrid costs exclude an unquoted tunnel fee. Future targets are assumptions, not measured savings.</x:v>
      </x:c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7" t="str">
        <x:v>Month</x:v>
      </x:c>
      <x:c r="D27" s="17" t="str">
        <x:v>External spend GBP</x:v>
      </x:c>
      <x:c r="E27" s="17" t="str">
        <x:v>Total allocated GBP</x:v>
      </x:c>
      <x:c r="F27" s="17" t="str">
        <x:v>DAU</x:v>
      </x:c>
      <x:c r="G27" s="17" t="str">
        <x:v>Credit USD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 t="str">
        <x:v>Oct 26</x:v>
      </x:c>
      <x:c r="D28" s="26" t="n">
        <x:f>'Forecast'!F92</x:f>
        <x:v>68.72075000000001</x:v>
      </x:c>
      <x:c r="E28" s="26" t="n">
        <x:f>'Forecast'!F104</x:f>
        <x:v>2308.72075</x:v>
      </x:c>
      <x:c r="F28" s="18" t="n">
        <x:f>'Forecast'!F7</x:f>
        <x:v>100</x:v>
      </x:c>
      <x:c r="G28" s="38" t="n">
        <x:f>'Forecast'!F113</x:f>
        <x:v>9952.372333333333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1" customHeight="1">
      <x:c r="A29" s="1"/>
      <x:c r="B29" s="1"/>
      <x:c r="C29" s="1" t="str">
        <x:v>Nov 26</x:v>
      </x:c>
      <x:c r="D29" s="26" t="n">
        <x:f>'Forecast'!G92</x:f>
        <x:v>85.96875</x:v>
      </x:c>
      <x:c r="E29" s="26" t="n">
        <x:f>'Forecast'!G104</x:f>
        <x:v>925.96875</x:v>
      </x:c>
      <x:c r="F29" s="18" t="n">
        <x:f>'Forecast'!G7</x:f>
        <x:v>150</x:v>
      </x:c>
      <x:c r="G29" s="38" t="n">
        <x:f>'Forecast'!G113</x:f>
        <x:v>9883.747333333333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 t="str">
        <x:v>Dec 26</x:v>
      </x:c>
      <x:c r="D30" s="26" t="n">
        <x:f>'Forecast'!H92</x:f>
        <x:v>110.30330000000001</x:v>
      </x:c>
      <x:c r="E30" s="26" t="n">
        <x:f>'Forecast'!H104</x:f>
        <x:v>1006.3033</x:v>
      </x:c>
      <x:c r="F30" s="18" t="n">
        <x:f>'Forecast'!H7</x:f>
        <x:v>220</x:v>
      </x:c>
      <x:c r="G30" s="38" t="n">
        <x:f>'Forecast'!H113</x:f>
        <x:v>9785.476266666667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1" t="str">
        <x:v>Jan 27</x:v>
      </x:c>
      <x:c r="D31" s="26" t="n">
        <x:f>'Forecast'!I92</x:f>
        <x:v>146.46075000000002</x:v>
      </x:c>
      <x:c r="E31" s="26" t="n">
        <x:f>'Forecast'!I104</x:f>
        <x:v>1106.46075</x:v>
      </x:c>
      <x:c r="F31" s="18" t="n">
        <x:f>'Forecast'!I7</x:f>
        <x:v>300</x:v>
      </x:c>
      <x:c r="G31" s="38" t="n">
        <x:f>'Forecast'!I113</x:f>
        <x:v>9642.195266666666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1" t="str">
        <x:v>Feb 27</x:v>
      </x:c>
      <x:c r="D32" s="26" t="n">
        <x:f>'Forecast'!J92</x:f>
        <x:v>172.73675</x:v>
      </x:c>
      <x:c r="E32" s="26" t="n">
        <x:f>'Forecast'!J104</x:f>
        <x:v>1212.73675</x:v>
      </x:c>
      <x:c r="F32" s="18" t="n">
        <x:f>'Forecast'!J7</x:f>
        <x:v>400</x:v>
      </x:c>
      <x:c r="G32" s="38" t="n">
        <x:f>'Forecast'!J113</x:f>
        <x:v>9467.879599999998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1" customHeight="1">
      <x:c r="A33" s="1"/>
      <x:c r="B33" s="1"/>
      <x:c r="C33" s="1" t="str">
        <x:v>Mar 27</x:v>
      </x:c>
      <x:c r="D33" s="26" t="n">
        <x:f>'Forecast'!K92</x:f>
        <x:v>213.27625</x:v>
      </x:c>
      <x:c r="E33" s="26" t="n">
        <x:f>'Forecast'!K104</x:f>
        <x:v>1333.27625</x:v>
      </x:c>
      <x:c r="F33" s="18" t="n">
        <x:f>'Forecast'!K7</x:f>
        <x:v>500</x:v>
      </x:c>
      <x:c r="G33" s="38" t="n">
        <x:f>'Forecast'!K113</x:f>
        <x:v>9243.511266666665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1" t="str">
        <x:v>Apr 27</x:v>
      </x:c>
      <x:c r="D34" s="26" t="n">
        <x:f>'Forecast'!L92</x:f>
        <x:v>252.4875</x:v>
      </x:c>
      <x:c r="E34" s="26" t="n">
        <x:f>'Forecast'!L104</x:f>
        <x:v>1452.4875</x:v>
      </x:c>
      <x:c r="F34" s="18" t="n">
        <x:f>'Forecast'!L7</x:f>
        <x:v>600</x:v>
      </x:c>
      <x:c r="G34" s="38" t="n">
        <x:f>'Forecast'!L113</x:f>
        <x:v>8970.861266666665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 t="str">
        <x:v>May 27</x:v>
      </x:c>
      <x:c r="D35" s="26" t="n">
        <x:f>'Forecast'!M92</x:f>
        <x:v>289.5905</x:v>
      </x:c>
      <x:c r="E35" s="26" t="n">
        <x:f>'Forecast'!M104</x:f>
        <x:v>1569.5905</x:v>
      </x:c>
      <x:c r="F35" s="18" t="n">
        <x:f>'Forecast'!M7</x:f>
        <x:v>700</x:v>
      </x:c>
      <x:c r="G35" s="38" t="n">
        <x:f>'Forecast'!M113</x:f>
        <x:v>8652.740599999997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 t="str">
        <x:v>Jun 27</x:v>
      </x:c>
      <x:c r="D36" s="26" t="n">
        <x:f>'Forecast'!N92</x:f>
        <x:v>318.83795</x:v>
      </x:c>
      <x:c r="E36" s="26" t="n">
        <x:f>'Forecast'!N104</x:f>
        <x:v>1678.83795</x:v>
      </x:c>
      <x:c r="F36" s="18" t="n">
        <x:f>'Forecast'!N7</x:f>
        <x:v>800</x:v>
      </x:c>
      <x:c r="G36" s="38" t="n">
        <x:f>'Forecast'!N113</x:f>
        <x:v>8299.623333333331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 t="str">
        <x:v>Jul 27</x:v>
      </x:c>
      <x:c r="D37" s="26" t="n">
        <x:f>'Forecast'!O92</x:f>
        <x:v>368.27131875000003</x:v>
      </x:c>
      <x:c r="E37" s="26" t="n">
        <x:f>'Forecast'!O104</x:f>
        <x:v>1808.27131875</x:v>
      </x:c>
      <x:c r="F37" s="18" t="n">
        <x:f>'Forecast'!O7</x:f>
        <x:v>900</x:v>
      </x:c>
      <x:c r="G37" s="38" t="n">
        <x:f>'Forecast'!O113</x:f>
        <x:v>7884.594908333331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1" t="str">
        <x:v>Aug 27</x:v>
      </x:c>
      <x:c r="D38" s="26" t="n">
        <x:f>'Forecast'!P92</x:f>
        <x:v>403.0736875</x:v>
      </x:c>
      <x:c r="E38" s="26" t="n">
        <x:f>'Forecast'!P104</x:f>
        <x:v>1923.0736875</x:v>
      </x:c>
      <x:c r="F38" s="18" t="n">
        <x:f>'Forecast'!P7</x:f>
        <x:v>1000</x:v>
      </x:c>
      <x:c r="G38" s="38" t="n">
        <x:f>'Forecast'!P113</x:f>
        <x:v>7427.163324999998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 t="str">
        <x:v>Sept 27</x:v>
      </x:c>
      <x:c r="D39" s="26" t="n">
        <x:f>'Forecast'!Q92</x:f>
        <x:v>396.63025000000005</x:v>
      </x:c>
      <x:c r="E39" s="26" t="n">
        <x:f>'Forecast'!Q104</x:f>
        <x:v>1916.6302500000002</x:v>
      </x:c>
      <x:c r="F39" s="18" t="n">
        <x:f>'Forecast'!Q7</x:f>
        <x:v>1000</x:v>
      </x:c>
      <x:c r="G39" s="38" t="n">
        <x:f>'Forecast'!Q113</x:f>
        <x:v>0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</x:sheetData>
  <x:pageMargins left="0.7" right="0.7" top="0.75" bottom="0.75" header="0.3" footer="0.3"/>
  <x:drawing xmlns:r="http://schemas.openxmlformats.org/officeDocument/2006/relationships" r:id="R6d9d632f8422404b"/>
</x:worksheet>
</file>

<file path=xl/worksheets/sheet2.xml><?xml version="1.0" encoding="utf-8"?>
<x:worksheet xmlns:x="http://schemas.openxmlformats.org/spreadsheetml/2006/main">
  <x:sheetPr>
    <x:tabColor rgb="FF63798B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3" hidden="0" customWidth="1"/>
    <x:col min="5" max="5" width="17" hidden="0" customWidth="1"/>
    <x:col min="6" max="6" width="30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13" hidden="0" customWidth="1"/>
    <x:col min="13" max="13" width="86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"/>
      <x:c r="B2" s="1"/>
      <x:c r="C2" s="2" t="str">
        <x:v>Forecast assumptions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1" customHeight="1">
      <x:c r="A4" s="1"/>
      <x:c r="B4" s="1"/>
      <x:c r="C4" s="1" t="str">
        <x:v>Case selected:</x:v>
      </x:c>
      <x:c r="D4" s="1"/>
      <x:c r="E4" s="11" t="n">
        <x:v>2</x:v>
      </x:c>
      <x:c r="F4" s="5" t="str">
        <x:f>CHOOSE(E4,"Original PR91","Initial polling increment","Event-driven target","Hybrid target")</x:f>
        <x:v>Initial polling increment</x:v>
      </x:c>
      <x:c r="G4" s="12"/>
      <x:c r="H4" s="12"/>
      <x:c r="I4" s="13"/>
      <x:c r="J4" s="1"/>
      <x:c r="K4" s="1"/>
      <x:c r="L4" s="1"/>
      <x:c r="M4" s="1" t="str">
        <x:v>Cases 3 and 4 are future targets. Tunnel price requires a quote.</x:v>
      </x:c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1"/>
      <x:c r="B6" s="1"/>
      <x:c r="C6" s="1"/>
      <x:c r="D6" s="1"/>
      <x:c r="E6" s="1"/>
      <x:c r="F6" s="14" t="n">
        <x:v>46299</x:v>
      </x:c>
      <x:c r="G6" s="14" t="n">
        <x:v>46327</x:v>
      </x:c>
      <x:c r="H6" s="14" t="n">
        <x:v>46357</x:v>
      </x:c>
      <x:c r="I6" s="14" t="n">
        <x:v>46388</x:v>
      </x:c>
      <x:c r="J6" s="14" t="n">
        <x:v>46419</x:v>
      </x:c>
      <x:c r="K6" s="14" t="n">
        <x:v>46447</x:v>
      </x:c>
      <x:c r="L6" s="14" t="n">
        <x:v>46478</x:v>
      </x:c>
      <x:c r="M6" s="14" t="n">
        <x:v>46508</x:v>
      </x:c>
      <x:c r="N6" s="14" t="n">
        <x:v>46539</x:v>
      </x:c>
      <x:c r="O6" s="14" t="n">
        <x:v>46569</x:v>
      </x:c>
      <x:c r="P6" s="14" t="n">
        <x:v>46600</x:v>
      </x:c>
      <x:c r="Q6" s="14" t="n">
        <x:v>46631</x:v>
      </x:c>
    </x:row>
    <x:row r="7" ht="21" customHeight="1">
      <x:c r="A7" s="1"/>
      <x:c r="B7" s="1"/>
      <x:c r="C7" s="1" t="str">
        <x:v>Average daily active users (DAU)</x:v>
      </x:c>
      <x:c r="D7" s="1"/>
      <x:c r="E7" s="1"/>
      <x:c r="F7" s="15" t="n">
        <x:v>100</x:v>
      </x:c>
      <x:c r="G7" s="15" t="n">
        <x:v>150</x:v>
      </x:c>
      <x:c r="H7" s="15" t="n">
        <x:v>220</x:v>
      </x:c>
      <x:c r="I7" s="15" t="n">
        <x:v>300</x:v>
      </x:c>
      <x:c r="J7" s="15" t="n">
        <x:v>400</x:v>
      </x:c>
      <x:c r="K7" s="15" t="n">
        <x:v>500</x:v>
      </x:c>
      <x:c r="L7" s="15" t="n">
        <x:v>600</x:v>
      </x:c>
      <x:c r="M7" s="15" t="n">
        <x:v>700</x:v>
      </x:c>
      <x:c r="N7" s="15" t="n">
        <x:v>800</x:v>
      </x:c>
      <x:c r="O7" s="15" t="n">
        <x:v>900</x:v>
      </x:c>
      <x:c r="P7" s="15" t="n">
        <x:v>1000</x:v>
      </x:c>
      <x:c r="Q7" s="15" t="n">
        <x:v>1000</x:v>
      </x:c>
    </x:row>
    <x:row r="8" ht="21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 t="str">
        <x:v>Editable inputs are blue. Rates checked 4 October 2026. FX is a budget assumption.</x:v>
      </x:c>
      <x:c r="N9" s="1"/>
      <x:c r="O9" s="1"/>
      <x:c r="P9" s="1"/>
      <x:c r="Q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4" customHeight="1">
      <x:c r="A11" s="1"/>
      <x:c r="B11" s="1"/>
      <x:c r="C11" s="17" t="str">
        <x:v>Usage per heavy account over 30 days</x:v>
      </x:c>
      <x:c r="D11" s="17"/>
      <x:c r="E11" s="17"/>
      <x:c r="F11" s="17"/>
      <x:c r="G11" s="17"/>
      <x:c r="H11" s="17"/>
      <x:c r="I11" s="17"/>
      <x:c r="J11" s="17"/>
      <x:c r="K11" s="17"/>
      <x:c r="L11" s="1"/>
      <x:c r="M11" s="1"/>
      <x:c r="N11" s="1"/>
      <x:c r="O11" s="1"/>
      <x:c r="P11" s="1"/>
      <x:c r="Q11" s="1"/>
    </x:row>
    <x:row r="12" ht="21" customHeight="1">
      <x:c r="A12" s="1"/>
      <x:c r="B12" s="1"/>
      <x:c r="C12" s="1"/>
      <x:c r="D12" s="1"/>
      <x:c r="E12" s="1" t="str">
        <x:v>Active</x:v>
      </x:c>
      <x:c r="F12" s="1" t="str">
        <x:v>Original PR91</x:v>
      </x:c>
      <x:c r="G12" s="1" t="str">
        <x:v>Initial increment</x:v>
      </x:c>
      <x:c r="H12" s="1" t="str">
        <x:v>Event target</x:v>
      </x:c>
      <x:c r="I12" s="1" t="str">
        <x:v>Hybrid target</x:v>
      </x:c>
      <x:c r="J12" s="1"/>
      <x:c r="K12" s="1"/>
      <x:c r="L12" s="1"/>
      <x:c r="M12" s="1"/>
      <x:c r="N12" s="1"/>
      <x:c r="O12" s="1"/>
      <x:c r="P12" s="1"/>
      <x:c r="Q12" s="1"/>
    </x:row>
    <x:row r="13" ht="21" customHeight="1">
      <x:c r="A13" s="1"/>
      <x:c r="B13" s="1"/>
      <x:c r="C13" s="1" t="str">
        <x:v>Worker HTTP requests</x:v>
      </x:c>
      <x:c r="D13" s="1"/>
      <x:c r="E13" s="18" t="n">
        <x:f>CHOOSE($E$4,F13,G13,H13,I13)</x:f>
        <x:v>1500000</x:v>
      </x:c>
      <x:c r="F13" s="19" t="n">
        <x:v>3500000</x:v>
      </x:c>
      <x:c r="G13" s="19" t="n">
        <x:v>1500000</x:v>
      </x:c>
      <x:c r="H13" s="19" t="n">
        <x:v>300000</x:v>
      </x:c>
      <x:c r="I13" s="19" t="n">
        <x:v>301000</x:v>
      </x:c>
      <x:c r="J13" s="1"/>
      <x:c r="K13" s="1"/>
      <x:c r="L13" s="1"/>
      <x:c r="M13" s="1" t="str">
        <x:v>Requests include session validation and routing. SQL volumes and awake time need measurement.</x:v>
      </x:c>
      <x:c r="N13" s="1"/>
      <x:c r="O13" s="1"/>
      <x:c r="P13" s="1"/>
      <x:c r="Q13" s="1"/>
    </x:row>
    <x:row r="14" ht="21" customHeight="1">
      <x:c r="A14" s="1"/>
      <x:c r="B14" s="1"/>
      <x:c r="C14" s="1" t="str">
        <x:v>Backend-object requests</x:v>
      </x:c>
      <x:c r="D14" s="1"/>
      <x:c r="E14" s="18" t="n">
        <x:f>CHOOSE($E$4,F14,G14,H14,I14)</x:f>
        <x:v>3200000</x:v>
      </x:c>
      <x:c r="F14" s="19" t="n">
        <x:v>7200000</x:v>
      </x:c>
      <x:c r="G14" s="19" t="n">
        <x:v>3200000</x:v>
      </x:c>
      <x:c r="H14" s="19" t="n">
        <x:v>650000</x:v>
      </x:c>
      <x:c r="I14" s="19" t="n">
        <x:v>610000</x:v>
      </x:c>
      <x:c r="J14" s="1"/>
      <x:c r="K14" s="1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1" t="str">
        <x:v>SQLite rows read</x:v>
      </x:c>
      <x:c r="D15" s="1"/>
      <x:c r="E15" s="18" t="n">
        <x:f>CHOOSE($E$4,F15,G15,H15,I15)</x:f>
        <x:v>15000000</x:v>
      </x:c>
      <x:c r="F15" s="19" t="n">
        <x:v>35000000</x:v>
      </x:c>
      <x:c r="G15" s="19" t="n">
        <x:v>15000000</x:v>
      </x:c>
      <x:c r="H15" s="19" t="n">
        <x:v>3000000</x:v>
      </x:c>
      <x:c r="I15" s="19" t="n">
        <x:v>3000000</x:v>
      </x:c>
      <x:c r="J15" s="1"/>
      <x:c r="K15" s="1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 t="str">
        <x:v>SQLite rows written</x:v>
      </x:c>
      <x:c r="D16" s="1"/>
      <x:c r="E16" s="18" t="n">
        <x:f>CHOOSE($E$4,F16,G16,H16,I16)</x:f>
        <x:v>200000</x:v>
      </x:c>
      <x:c r="F16" s="19" t="n">
        <x:v>200000</x:v>
      </x:c>
      <x:c r="G16" s="19" t="n">
        <x:v>200000</x:v>
      </x:c>
      <x:c r="H16" s="19" t="n">
        <x:v>200000</x:v>
      </x:c>
      <x:c r="I16" s="19" t="n">
        <x:v>200000</x:v>
      </x:c>
      <x:c r="J16" s="1"/>
      <x:c r="K16" s="1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 t="str">
        <x:v>Account awake share of online hours</x:v>
      </x:c>
      <x:c r="D17" s="1"/>
      <x:c r="E17" s="20" t="n">
        <x:f>CHOOSE($E$4,F17,G17,H17,I17)</x:f>
        <x:v>0.1</x:v>
      </x:c>
      <x:c r="F17" s="21" t="n">
        <x:v>0.1</x:v>
      </x:c>
      <x:c r="G17" s="21" t="n">
        <x:v>0.1</x:v>
      </x:c>
      <x:c r="H17" s="21" t="n">
        <x:v>0.1</x:v>
      </x:c>
      <x:c r="I17" s="21" t="n">
        <x:v>0.01</x:v>
      </x:c>
      <x:c r="J17" s="1"/>
      <x:c r="K17" s="1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4" customHeight="1">
      <x:c r="A19" s="1"/>
      <x:c r="B19" s="1"/>
      <x:c r="C19" s="17" t="str">
        <x:v>Active-user mix</x:v>
      </x:c>
      <x:c r="D19" s="17"/>
      <x:c r="E19" s="17"/>
      <x:c r="F19" s="17"/>
      <x:c r="G19" s="17"/>
      <x:c r="H19" s="17"/>
      <x:c r="I19" s="17"/>
      <x:c r="J19" s="17"/>
      <x:c r="K19" s="17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/>
      <x:c r="D20" s="1"/>
      <x:c r="E20" s="1" t="str">
        <x:v>Share</x:v>
      </x:c>
      <x:c r="F20" s="1" t="str">
        <x:v>Hours per day</x:v>
      </x:c>
      <x:c r="G20" s="1" t="str">
        <x:v>Online devices</x:v>
      </x:c>
      <x:c r="H20" s="1" t="str">
        <x:v>Request weight</x:v>
      </x:c>
      <x:c r="I20" s="1" t="str">
        <x:v>Account-hours weight</x:v>
      </x:c>
      <x:c r="J20" s="1"/>
      <x:c r="K20" s="1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 t="str">
        <x:v>Light</x:v>
      </x:c>
      <x:c r="D21" s="1"/>
      <x:c r="E21" s="21" t="n">
        <x:v>0.6</x:v>
      </x:c>
      <x:c r="F21" s="15" t="n">
        <x:v>0.4</x:v>
      </x:c>
      <x:c r="G21" s="15" t="n">
        <x:v>1</x:v>
      </x:c>
      <x:c r="H21" s="22" t="n">
        <x:f>E21*F21*G21/24</x:f>
        <x:v>0.01</x:v>
      </x:c>
      <x:c r="I21" s="22" t="n">
        <x:f>E21*F21/8</x:f>
        <x:v>0.03</x:v>
      </x:c>
      <x:c r="J21" s="1"/>
      <x:c r="K21" s="1"/>
      <x:c r="L21" s="1"/>
      <x:c r="M21" s="1" t="str">
        <x:v>Connected app hours, including background activity. Three heavy devices share one account object.</x:v>
      </x:c>
      <x:c r="N21" s="1"/>
      <x:c r="O21" s="1"/>
      <x:c r="P21" s="1"/>
      <x:c r="Q21" s="1"/>
    </x:row>
    <x:row r="22" ht="21" customHeight="1">
      <x:c r="A22" s="1"/>
      <x:c r="B22" s="1"/>
      <x:c r="C22" s="1" t="str">
        <x:v>Regular</x:v>
      </x:c>
      <x:c r="D22" s="1"/>
      <x:c r="E22" s="21" t="n">
        <x:v>0.25</x:v>
      </x:c>
      <x:c r="F22" s="15" t="n">
        <x:v>2</x:v>
      </x:c>
      <x:c r="G22" s="15" t="n">
        <x:v>2</x:v>
      </x:c>
      <x:c r="H22" s="22" t="n">
        <x:f>E22*F22*G22/24</x:f>
        <x:v>0.041666666666666664</x:v>
      </x:c>
      <x:c r="I22" s="22" t="n">
        <x:f>E22*F22/8</x:f>
        <x:v>0.0625</x:v>
      </x:c>
      <x:c r="J22" s="1"/>
      <x:c r="K22" s="1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 t="str">
        <x:v>Heavy</x:v>
      </x:c>
      <x:c r="D23" s="1"/>
      <x:c r="E23" s="21" t="n">
        <x:v>0.15</x:v>
      </x:c>
      <x:c r="F23" s="15" t="n">
        <x:v>8</x:v>
      </x:c>
      <x:c r="G23" s="15" t="n">
        <x:v>3</x:v>
      </x:c>
      <x:c r="H23" s="22" t="n">
        <x:f>E23*F23*G23/24</x:f>
        <x:v>0.15</x:v>
      </x:c>
      <x:c r="I23" s="22" t="n">
        <x:f>E23*F23/8</x:f>
        <x:v>0.15</x:v>
      </x:c>
      <x:c r="J23" s="1"/>
      <x:c r="K23" s="1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 t="str">
        <x:v>Total</x:v>
      </x:c>
      <x:c r="D24" s="1"/>
      <x:c r="E24" s="22" t="n">
        <x:f>SUM(E21:E23)</x:f>
        <x:v>1</x:v>
      </x:c>
      <x:c r="F24" s="22"/>
      <x:c r="G24" s="22"/>
      <x:c r="H24" s="22" t="n">
        <x:f>SUM(H21:H23)</x:f>
        <x:v>0.20166666666666666</x:v>
      </x:c>
      <x:c r="I24" s="22" t="n">
        <x:f>SUM(I21:I23)</x:f>
        <x:v>0.2425</x:v>
      </x:c>
      <x:c r="J24" s="1"/>
      <x:c r="K24" s="1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4" customHeight="1">
      <x:c r="A26" s="1"/>
      <x:c r="B26" s="1"/>
      <x:c r="C26" s="17" t="str">
        <x:v>Service and operating assumptions</x:v>
      </x:c>
      <x:c r="D26" s="17"/>
      <x:c r="E26" s="17"/>
      <x:c r="F26" s="17"/>
      <x:c r="G26" s="17"/>
      <x:c r="H26" s="17"/>
      <x:c r="I26" s="17"/>
      <x:c r="J26" s="17"/>
      <x:c r="K26" s="17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" t="str">
        <x:v>Cloudflare opening credit USD</x:v>
      </x:c>
      <x:c r="D27" s="1"/>
      <x:c r="E27" s="23" t="n">
        <x:v>10000</x:v>
      </x:c>
      <x:c r="F27" s="1"/>
      <x:c r="G27" s="1"/>
      <x:c r="H27" s="1"/>
      <x:c r="I27" s="1"/>
      <x:c r="J27" s="1"/>
      <x:c r="K27" s="1"/>
      <x:c r="L27" s="1"/>
      <x:c r="M27" s="1" t="str">
        <x:v>Planning assumption; replace with measured usage or actual invoice.</x:v>
      </x:c>
      <x:c r="N27" s="1"/>
      <x:c r="O27" s="1"/>
      <x:c r="P27" s="1"/>
      <x:c r="Q27" s="1"/>
    </x:row>
    <x:row r="28" ht="21" customHeight="1">
      <x:c r="A28" s="1"/>
      <x:c r="B28" s="1"/>
      <x:c r="C28" s="1" t="str">
        <x:v>Credit expiry (assumed start of UTC day)</x:v>
      </x:c>
      <x:c r="D28" s="1"/>
      <x:c r="E28" s="24" t="n">
        <x:v>46648</x:v>
      </x:c>
      <x:c r="F28" s="1"/>
      <x:c r="G28" s="1"/>
      <x:c r="H28" s="1"/>
      <x:c r="I28" s="1"/>
      <x:c r="J28" s="1"/>
      <x:c r="K28" s="1"/>
      <x:c r="L28" s="1"/>
      <x:c r="M28" s="1" t="str">
        <x:v>Planning assumption; replace with measured usage or actual invoice.</x:v>
      </x:c>
      <x:c r="N28" s="1"/>
      <x:c r="O28" s="1"/>
      <x:c r="P28" s="1"/>
      <x:c r="Q28" s="1"/>
    </x:row>
    <x:row r="29" ht="21" customHeight="1">
      <x:c r="A29" s="1"/>
      <x:c r="B29" s="1"/>
      <x:c r="C29" s="1" t="str">
        <x:v>Other Cloudflare USD/month</x:v>
      </x:c>
      <x:c r="D29" s="1"/>
      <x:c r="E29" s="23" t="n">
        <x:v>0</x:v>
      </x:c>
      <x:c r="F29" s="1"/>
      <x:c r="G29" s="1"/>
      <x:c r="H29" s="1"/>
      <x:c r="I29" s="1"/>
      <x:c r="J29" s="1"/>
      <x:c r="K29" s="1"/>
      <x:c r="L29" s="1"/>
      <x:c r="M29" s="1" t="str">
        <x:v>Planning assumption; replace with measured usage or actual invoice.</x:v>
      </x:c>
      <x:c r="N29" s="1"/>
      <x:c r="O29" s="1"/>
      <x:c r="P29" s="1"/>
      <x:c r="Q29" s="1"/>
    </x:row>
    <x:row r="30" ht="21" customHeight="1">
      <x:c r="A30" s="1"/>
      <x:c r="B30" s="1"/>
      <x:c r="C30" s="1" t="str">
        <x:v>DAU divided by MAU</x:v>
      </x:c>
      <x:c r="D30" s="1"/>
      <x:c r="E30" s="21" t="n">
        <x:v>0.25</x:v>
      </x:c>
      <x:c r="F30" s="1"/>
      <x:c r="G30" s="1"/>
      <x:c r="H30" s="1"/>
      <x:c r="I30" s="1"/>
      <x:c r="J30" s="1"/>
      <x:c r="K30" s="1"/>
      <x:c r="L30" s="1"/>
      <x:c r="M30" s="1" t="str">
        <x:v>Planning assumption; replace with measured usage or actual invoice.</x:v>
      </x:c>
      <x:c r="N30" s="1"/>
      <x:c r="O30" s="1"/>
      <x:c r="P30" s="1"/>
      <x:c r="Q30" s="1"/>
    </x:row>
    <x:row r="31" ht="21" customHeight="1">
      <x:c r="A31" s="1"/>
      <x:c r="B31" s="1"/>
      <x:c r="C31" s="1" t="str">
        <x:v>GBP per USD (planning FX)</x:v>
      </x:c>
      <x:c r="D31" s="1"/>
      <x:c r="E31" s="23" t="n">
        <x:v>0.75</x:v>
      </x:c>
      <x:c r="F31" s="1"/>
      <x:c r="G31" s="1"/>
      <x:c r="H31" s="1"/>
      <x:c r="I31" s="1"/>
      <x:c r="J31" s="1"/>
      <x:c r="K31" s="1"/>
      <x:c r="L31" s="1"/>
      <x:c r="M31" s="1" t="str">
        <x:v>Planning assumption; replace with measured usage or actual invoice.</x:v>
      </x:c>
      <x:c r="N31" s="1"/>
      <x:c r="O31" s="1"/>
      <x:c r="P31" s="1"/>
      <x:c r="Q31" s="1"/>
    </x:row>
    <x:row r="32" ht="21" customHeight="1">
      <x:c r="A32" s="1"/>
      <x:c r="B32" s="1"/>
      <x:c r="C32" s="1" t="str">
        <x:v>Retained accounts per monthly active user</x:v>
      </x:c>
      <x:c r="D32" s="1"/>
      <x:c r="E32" s="23" t="n">
        <x:v>5</x:v>
      </x:c>
      <x:c r="F32" s="1"/>
      <x:c r="G32" s="1"/>
      <x:c r="H32" s="1"/>
      <x:c r="I32" s="1"/>
      <x:c r="J32" s="1"/>
      <x:c r="K32" s="1"/>
      <x:c r="L32" s="1"/>
      <x:c r="M32" s="1" t="str">
        <x:v>Planning assumption; replace with measured usage or actual invoice.</x:v>
      </x:c>
      <x:c r="N32" s="1"/>
      <x:c r="O32" s="1"/>
      <x:c r="P32" s="1"/>
      <x:c r="Q32" s="1"/>
    </x:row>
    <x:row r="33" ht="21" customHeight="1">
      <x:c r="A33" s="1"/>
      <x:c r="B33" s="1"/>
      <x:c r="C33" s="1" t="str">
        <x:v>SQLite GB per retained account</x:v>
      </x:c>
      <x:c r="D33" s="1"/>
      <x:c r="E33" s="23" t="n">
        <x:v>0.021</x:v>
      </x:c>
      <x:c r="F33" s="1"/>
      <x:c r="G33" s="1"/>
      <x:c r="H33" s="1"/>
      <x:c r="I33" s="1"/>
      <x:c r="J33" s="1"/>
      <x:c r="K33" s="1"/>
      <x:c r="L33" s="1"/>
      <x:c r="M33" s="1" t="str">
        <x:v>21 MB: 20 MB account state + 1 MB shared-session allocation. Hosted bytes are not automatically capped.</x:v>
      </x:c>
      <x:c r="N33" s="1"/>
      <x:c r="O33" s="1"/>
      <x:c r="P33" s="1"/>
      <x:c r="Q33" s="1"/>
    </x:row>
    <x:row r="34" ht="21" customHeight="1">
      <x:c r="A34" s="1"/>
      <x:c r="B34" s="1"/>
      <x:c r="C34" s="1" t="str">
        <x:v>R2 GB per retained account</x:v>
      </x:c>
      <x:c r="D34" s="1"/>
      <x:c r="E34" s="23" t="n">
        <x:v>0.1</x:v>
      </x:c>
      <x:c r="F34" s="1"/>
      <x:c r="G34" s="1"/>
      <x:c r="H34" s="1"/>
      <x:c r="I34" s="1"/>
      <x:c r="J34" s="1"/>
      <x:c r="K34" s="1"/>
      <x:c r="L34" s="1"/>
      <x:c r="M34" s="1" t="str">
        <x:v>Planning assumption; replace with measured usage or actual invoice.</x:v>
      </x:c>
      <x:c r="N34" s="1"/>
      <x:c r="O34" s="1"/>
      <x:c r="P34" s="1"/>
      <x:c r="Q34" s="1"/>
    </x:row>
    <x:row r="35" ht="21" customHeight="1">
      <x:c r="A35" s="1"/>
      <x:c r="B35" s="1"/>
      <x:c r="C35" s="1" t="str">
        <x:v>D1 GB per retained account</x:v>
      </x:c>
      <x:c r="D35" s="1"/>
      <x:c r="E35" s="23" t="n">
        <x:v>0.002</x:v>
      </x:c>
      <x:c r="F35" s="1"/>
      <x:c r="G35" s="1"/>
      <x:c r="H35" s="1"/>
      <x:c r="I35" s="1"/>
      <x:c r="J35" s="1"/>
      <x:c r="K35" s="1"/>
      <x:c r="L35" s="1"/>
      <x:c r="M35" s="1" t="str">
        <x:v>Planning assumption; replace with measured usage or actual invoice.</x:v>
      </x:c>
      <x:c r="N35" s="1"/>
      <x:c r="O35" s="1"/>
      <x:c r="P35" s="1"/>
      <x:c r="Q35" s="1"/>
    </x:row>
    <x:row r="36" ht="21" customHeight="1">
      <x:c r="A36" s="1"/>
      <x:c r="B36" s="1"/>
      <x:c r="C36" s="1" t="str">
        <x:v>R2 class A operations per heavy account</x:v>
      </x:c>
      <x:c r="D36" s="1"/>
      <x:c r="E36" s="23" t="n">
        <x:v>600</x:v>
      </x:c>
      <x:c r="F36" s="1"/>
      <x:c r="G36" s="1"/>
      <x:c r="H36" s="1"/>
      <x:c r="I36" s="1"/>
      <x:c r="J36" s="1"/>
      <x:c r="K36" s="1"/>
      <x:c r="L36" s="1"/>
      <x:c r="M36" s="1" t="str">
        <x:v>Planning assumption; replace with measured usage or actual invoice.</x:v>
      </x:c>
      <x:c r="N36" s="1"/>
      <x:c r="O36" s="1"/>
      <x:c r="P36" s="1"/>
      <x:c r="Q36" s="1"/>
    </x:row>
    <x:row r="37" ht="21" customHeight="1">
      <x:c r="A37" s="1"/>
      <x:c r="B37" s="1"/>
      <x:c r="C37" s="1" t="str">
        <x:v>R2 class B operations per heavy account</x:v>
      </x:c>
      <x:c r="D37" s="1"/>
      <x:c r="E37" s="23" t="n">
        <x:v>3000</x:v>
      </x:c>
      <x:c r="F37" s="1"/>
      <x:c r="G37" s="1"/>
      <x:c r="H37" s="1"/>
      <x:c r="I37" s="1"/>
      <x:c r="J37" s="1"/>
      <x:c r="K37" s="1"/>
      <x:c r="L37" s="1"/>
      <x:c r="M37" s="1" t="str">
        <x:v>Planning assumption; replace with measured usage or actual invoice.</x:v>
      </x:c>
      <x:c r="N37" s="1"/>
      <x:c r="O37" s="1"/>
      <x:c r="P37" s="1"/>
      <x:c r="Q37" s="1"/>
    </x:row>
    <x:row r="38" ht="21" customHeight="1">
      <x:c r="A38" s="1"/>
      <x:c r="B38" s="1"/>
      <x:c r="C38" s="1" t="str">
        <x:v>D1 read rows per monthly active user</x:v>
      </x:c>
      <x:c r="D38" s="1"/>
      <x:c r="E38" s="23" t="n">
        <x:v>10000</x:v>
      </x:c>
      <x:c r="F38" s="1"/>
      <x:c r="G38" s="1"/>
      <x:c r="H38" s="1"/>
      <x:c r="I38" s="1"/>
      <x:c r="J38" s="1"/>
      <x:c r="K38" s="1"/>
      <x:c r="L38" s="1"/>
      <x:c r="M38" s="1" t="str">
        <x:v>Planning assumption; replace with measured usage or actual invoice.</x:v>
      </x:c>
      <x:c r="N38" s="1"/>
      <x:c r="O38" s="1"/>
      <x:c r="P38" s="1"/>
      <x:c r="Q38" s="1"/>
    </x:row>
    <x:row r="39" ht="21" customHeight="1">
      <x:c r="A39" s="1"/>
      <x:c r="B39" s="1"/>
      <x:c r="C39" s="1" t="str">
        <x:v>D1 write rows per monthly active user</x:v>
      </x:c>
      <x:c r="D39" s="1"/>
      <x:c r="E39" s="23" t="n">
        <x:v>1000</x:v>
      </x:c>
      <x:c r="F39" s="1"/>
      <x:c r="G39" s="1"/>
      <x:c r="H39" s="1"/>
      <x:c r="I39" s="1"/>
      <x:c r="J39" s="1"/>
      <x:c r="K39" s="1"/>
      <x:c r="L39" s="1"/>
      <x:c r="M39" s="1" t="str">
        <x:v>Planning assumption; replace with measured usage or actual invoice.</x:v>
      </x:c>
      <x:c r="N39" s="1"/>
      <x:c r="O39" s="1"/>
      <x:c r="P39" s="1"/>
      <x:c r="Q39" s="1"/>
    </x:row>
    <x:row r="40" ht="21" customHeight="1">
      <x:c r="A40" s="1"/>
      <x:c r="B40" s="1"/>
      <x:c r="C40" s="1" t="str">
        <x:v>Worker CPU milliseconds per request</x:v>
      </x:c>
      <x:c r="D40" s="1"/>
      <x:c r="E40" s="23" t="n">
        <x:v>5</x:v>
      </x:c>
      <x:c r="F40" s="1"/>
      <x:c r="G40" s="1"/>
      <x:c r="H40" s="1"/>
      <x:c r="I40" s="1"/>
      <x:c r="J40" s="1"/>
      <x:c r="K40" s="1"/>
      <x:c r="L40" s="1"/>
      <x:c r="M40" s="1" t="str">
        <x:v>Planning assumption; replace with measured usage or actual invoice.</x:v>
      </x:c>
      <x:c r="N40" s="1"/>
      <x:c r="O40" s="1"/>
      <x:c r="P40" s="1"/>
      <x:c r="Q40" s="1"/>
    </x:row>
    <x:row r="41" ht="21" customHeight="1">
      <x:c r="A41" s="1"/>
      <x:c r="B41" s="1"/>
      <x:c r="C41" s="1" t="str">
        <x:v>Shared session objects across environments</x:v>
      </x:c>
      <x:c r="D41" s="1"/>
      <x:c r="E41" s="23" t="n">
        <x:v>2</x:v>
      </x:c>
      <x:c r="F41" s="1"/>
      <x:c r="G41" s="1"/>
      <x:c r="H41" s="1"/>
      <x:c r="I41" s="1"/>
      <x:c r="J41" s="1"/>
      <x:c r="K41" s="1"/>
      <x:c r="L41" s="1"/>
      <x:c r="M41" s="1" t="str">
        <x:v>Planning assumption; replace with measured usage or actual invoice.</x:v>
      </x:c>
      <x:c r="N41" s="1"/>
      <x:c r="O41" s="1"/>
      <x:c r="P41" s="1"/>
      <x:c r="Q41" s="1"/>
    </x:row>
    <x:row r="42" ht="21" customHeight="1">
      <x:c r="A42" s="1"/>
      <x:c r="B42" s="1"/>
      <x:c r="C42" s="1" t="str">
        <x:v>Shared session awake fraction</x:v>
      </x:c>
      <x:c r="D42" s="1"/>
      <x:c r="E42" s="21" t="n">
        <x:v>1</x:v>
      </x:c>
      <x:c r="F42" s="1"/>
      <x:c r="G42" s="1"/>
      <x:c r="H42" s="1"/>
      <x:c r="I42" s="1"/>
      <x:c r="J42" s="1"/>
      <x:c r="K42" s="1"/>
      <x:c r="L42" s="1"/>
      <x:c r="M42" s="1" t="str">
        <x:v>Planning assumption; replace with measured usage or actual invoice.</x:v>
      </x:c>
      <x:c r="N42" s="1"/>
      <x:c r="O42" s="1"/>
      <x:c r="P42" s="1"/>
      <x:c r="Q42" s="1"/>
    </x:row>
    <x:row r="43" ht="21" customHeight="1">
      <x:c r="A43" s="1"/>
      <x:c r="B43" s="1"/>
      <x:c r="C43" s="1" t="str">
        <x:v>Backend-object memory GB</x:v>
      </x:c>
      <x:c r="D43" s="1"/>
      <x:c r="E43" s="23" t="n">
        <x:v>0.128</x:v>
      </x:c>
      <x:c r="F43" s="1"/>
      <x:c r="G43" s="1"/>
      <x:c r="H43" s="1"/>
      <x:c r="I43" s="1"/>
      <x:c r="J43" s="1"/>
      <x:c r="K43" s="1"/>
      <x:c r="L43" s="1"/>
      <x:c r="M43" s="1" t="str">
        <x:v>Planning assumption; replace with measured usage or actual invoice.</x:v>
      </x:c>
      <x:c r="N43" s="1"/>
      <x:c r="O43" s="1"/>
      <x:c r="P43" s="1"/>
      <x:c r="Q43" s="1"/>
    </x:row>
    <x:row r="44" ht="21" customHeight="1">
      <x:c r="A44" s="1"/>
      <x:c r="B44" s="1"/>
      <x:c r="C44" s="1" t="str">
        <x:v>Staging workload fraction</x:v>
      </x:c>
      <x:c r="D44" s="1"/>
      <x:c r="E44" s="21" t="n">
        <x:v>0.1</x:v>
      </x:c>
      <x:c r="F44" s="1"/>
      <x:c r="G44" s="1"/>
      <x:c r="H44" s="1"/>
      <x:c r="I44" s="1"/>
      <x:c r="J44" s="1"/>
      <x:c r="K44" s="1"/>
      <x:c r="L44" s="1"/>
      <x:c r="M44" s="1" t="str">
        <x:v>Planning assumption; replace with measured usage or actual invoice.</x:v>
      </x:c>
      <x:c r="N44" s="1"/>
      <x:c r="O44" s="1"/>
      <x:c r="P44" s="1"/>
      <x:c r="Q44" s="1"/>
    </x:row>
    <x:row r="45" ht="21" customHeight="1">
      <x:c r="A45" s="1"/>
      <x:c r="B45" s="1"/>
      <x:c r="C45" s="1" t="str">
        <x:v>Logging sample fraction</x:v>
      </x:c>
      <x:c r="D45" s="1"/>
      <x:c r="E45" s="21" t="n">
        <x:v>0.1</x:v>
      </x:c>
      <x:c r="F45" s="1"/>
      <x:c r="G45" s="1"/>
      <x:c r="H45" s="1"/>
      <x:c r="I45" s="1"/>
      <x:c r="J45" s="1"/>
      <x:c r="K45" s="1"/>
      <x:c r="L45" s="1"/>
      <x:c r="M45" s="1" t="str">
        <x:v>Planning assumption; replace with measured usage or actual invoice.</x:v>
      </x:c>
      <x:c r="N45" s="1"/>
      <x:c r="O45" s="1"/>
      <x:c r="P45" s="1"/>
      <x:c r="Q45" s="1"/>
    </x:row>
    <x:row r="46" ht="21" customHeight="1">
      <x:c r="A46" s="1"/>
      <x:c r="B46" s="1"/>
      <x:c r="C46" s="1" t="str">
        <x:v>Events per sampled HTTP request</x:v>
      </x:c>
      <x:c r="D46" s="1"/>
      <x:c r="E46" s="23" t="n">
        <x:v>2</x:v>
      </x:c>
      <x:c r="F46" s="1"/>
      <x:c r="G46" s="1"/>
      <x:c r="H46" s="1"/>
      <x:c r="I46" s="1"/>
      <x:c r="J46" s="1"/>
      <x:c r="K46" s="1"/>
      <x:c r="L46" s="1"/>
      <x:c r="M46" s="1" t="str">
        <x:v>Planning assumption; replace with measured usage or actual invoice.</x:v>
      </x:c>
      <x:c r="N46" s="1"/>
      <x:c r="O46" s="1"/>
      <x:c r="P46" s="1"/>
      <x:c r="Q46" s="1"/>
    </x:row>
    <x:row r="47" ht="21" customHeight="1">
      <x:c r="A47" s="1"/>
      <x:c r="B47" s="1"/>
      <x:c r="C47" s="1" t="str">
        <x:v>Bytes per log event</x:v>
      </x:c>
      <x:c r="D47" s="1"/>
      <x:c r="E47" s="23" t="n">
        <x:v>1000</x:v>
      </x:c>
      <x:c r="F47" s="1"/>
      <x:c r="G47" s="1"/>
      <x:c r="H47" s="1"/>
      <x:c r="I47" s="1"/>
      <x:c r="J47" s="1"/>
      <x:c r="K47" s="1"/>
      <x:c r="L47" s="1"/>
      <x:c r="M47" s="1" t="str">
        <x:v>Planning assumption; replace with measured usage or actual invoice.</x:v>
      </x:c>
      <x:c r="N47" s="1"/>
      <x:c r="O47" s="1"/>
      <x:c r="P47" s="1"/>
      <x:c r="Q47" s="1"/>
    </x:row>
    <x:row r="48" ht="21" customHeight="1">
      <x:c r="A48" s="1"/>
      <x:c r="B48" s="1"/>
      <x:c r="C48" s="1" t="str">
        <x:v>Log retention days</x:v>
      </x:c>
      <x:c r="D48" s="1"/>
      <x:c r="E48" s="23" t="n">
        <x:v>7</x:v>
      </x:c>
      <x:c r="F48" s="1"/>
      <x:c r="G48" s="1"/>
      <x:c r="H48" s="1"/>
      <x:c r="I48" s="1"/>
      <x:c r="J48" s="1"/>
      <x:c r="K48" s="1"/>
      <x:c r="L48" s="1"/>
      <x:c r="M48" s="1" t="str">
        <x:v>Planning assumption; replace with measured usage or actual invoice.</x:v>
      </x:c>
      <x:c r="N48" s="1"/>
      <x:c r="O48" s="1"/>
      <x:c r="P48" s="1"/>
      <x:c r="Q48" s="1"/>
    </x:row>
    <x:row r="49" ht="21" customHeight="1">
      <x:c r="A49" s="1"/>
      <x:c r="B49" s="1"/>
      <x:c r="C49" s="1" t="str">
        <x:v>Website fixed USD/month</x:v>
      </x:c>
      <x:c r="D49" s="1"/>
      <x:c r="E49" s="23" t="n">
        <x:v>20</x:v>
      </x:c>
      <x:c r="F49" s="1"/>
      <x:c r="G49" s="1"/>
      <x:c r="H49" s="1"/>
      <x:c r="I49" s="1"/>
      <x:c r="J49" s="1"/>
      <x:c r="K49" s="1"/>
      <x:c r="L49" s="1"/>
      <x:c r="M49" s="1" t="str">
        <x:v>https://vercel.com/pricing</x:v>
      </x:c>
      <x:c r="N49" s="1"/>
      <x:c r="O49" s="1"/>
      <x:c r="P49" s="1"/>
      <x:c r="Q49" s="1"/>
    </x:row>
    <x:row r="50" ht="21" customHeight="1">
      <x:c r="A50" s="1"/>
      <x:c r="B50" s="1"/>
      <x:c r="C50" s="1" t="str">
        <x:v>Other tools reserve USD/month</x:v>
      </x:c>
      <x:c r="D50" s="1"/>
      <x:c r="E50" s="23" t="n">
        <x:v>20</x:v>
      </x:c>
      <x:c r="F50" s="1"/>
      <x:c r="G50" s="1"/>
      <x:c r="H50" s="1"/>
      <x:c r="I50" s="1"/>
      <x:c r="J50" s="1"/>
      <x:c r="K50" s="1"/>
      <x:c r="L50" s="1"/>
      <x:c r="M50" s="1" t="str">
        <x:v>Planning assumption; replace with measured usage or actual invoice.</x:v>
      </x:c>
      <x:c r="N50" s="1"/>
      <x:c r="O50" s="1"/>
      <x:c r="P50" s="1"/>
      <x:c r="Q50" s="1"/>
    </x:row>
    <x:row r="51" ht="21" customHeight="1">
      <x:c r="A51" s="1"/>
      <x:c r="B51" s="1"/>
      <x:c r="C51" s="1" t="str">
        <x:v>Website reserve USD per monthly active user</x:v>
      </x:c>
      <x:c r="D51" s="1"/>
      <x:c r="E51" s="23" t="n">
        <x:v>0.01</x:v>
      </x:c>
      <x:c r="F51" s="1"/>
      <x:c r="G51" s="1"/>
      <x:c r="H51" s="1"/>
      <x:c r="I51" s="1"/>
      <x:c r="J51" s="1"/>
      <x:c r="K51" s="1"/>
      <x:c r="L51" s="1"/>
      <x:c r="M51" s="1" t="str">
        <x:v>Planning assumption; replace with measured usage or actual invoice.</x:v>
      </x:c>
      <x:c r="N51" s="1"/>
      <x:c r="O51" s="1"/>
      <x:c r="P51" s="1"/>
      <x:c r="Q51" s="1"/>
    </x:row>
    <x:row r="52" ht="21" customHeight="1">
      <x:c r="A52" s="1"/>
      <x:c r="B52" s="1"/>
      <x:c r="C52" s="1" t="str">
        <x:v>Optional WorkOS custom domain USD/month</x:v>
      </x:c>
      <x:c r="D52" s="1"/>
      <x:c r="E52" s="23" t="n">
        <x:v>0</x:v>
      </x:c>
      <x:c r="F52" s="1"/>
      <x:c r="G52" s="1"/>
      <x:c r="H52" s="1"/>
      <x:c r="I52" s="1"/>
      <x:c r="J52" s="1"/>
      <x:c r="K52" s="1"/>
      <x:c r="L52" s="1"/>
      <x:c r="M52" s="1" t="str">
        <x:v>https://workos.com/pricing</x:v>
      </x:c>
      <x:c r="N52" s="1"/>
      <x:c r="O52" s="1"/>
      <x:c r="P52" s="1"/>
      <x:c r="Q52" s="1"/>
    </x:row>
    <x:row r="53" ht="21" customHeight="1">
      <x:c r="A53" s="1"/>
      <x:c r="B53" s="1"/>
      <x:c r="C53" s="1" t="str">
        <x:v>Optional SSO connections (0 to 15)</x:v>
      </x:c>
      <x:c r="D53" s="1"/>
      <x:c r="E53" s="23" t="n">
        <x:v>0</x:v>
      </x:c>
      <x:c r="F53" s="1"/>
      <x:c r="G53" s="1"/>
      <x:c r="H53" s="1"/>
      <x:c r="I53" s="1"/>
      <x:c r="J53" s="1"/>
      <x:c r="K53" s="1"/>
      <x:c r="L53" s="1"/>
      <x:c r="M53" s="1" t="str">
        <x:v>https://workos.com/pricing</x:v>
      </x:c>
      <x:c r="N53" s="1"/>
      <x:c r="O53" s="1"/>
      <x:c r="P53" s="1"/>
      <x:c r="Q53" s="1"/>
    </x:row>
    <x:row r="54" ht="21" customHeight="1">
      <x:c r="A54" s="1"/>
      <x:c r="B54" s="1"/>
      <x:c r="C54" s="1" t="str">
        <x:v>Hybrid allocated hosts per monthly active user</x:v>
      </x:c>
      <x:c r="D54" s="1"/>
      <x:c r="E54" s="23" t="n">
        <x:v>1</x:v>
      </x:c>
      <x:c r="F54" s="1"/>
      <x:c r="G54" s="1"/>
      <x:c r="H54" s="1"/>
      <x:c r="I54" s="1"/>
      <x:c r="J54" s="1"/>
      <x:c r="K54" s="1"/>
      <x:c r="L54" s="1"/>
      <x:c r="M54" s="1" t="str">
        <x:v>Planning assumption; replace with measured usage or actual invoice.</x:v>
      </x:c>
      <x:c r="N54" s="1"/>
      <x:c r="O54" s="1"/>
      <x:c r="P54" s="1"/>
      <x:c r="Q54" s="1"/>
    </x:row>
    <x:row r="55" ht="21" customHeight="1">
      <x:c r="A55" s="1"/>
      <x:c r="B55" s="1"/>
      <x:c r="C55" s="1" t="str">
        <x:v>Tunnel USD per host/month (unquoted)</x:v>
      </x:c>
      <x:c r="D55" s="1"/>
      <x:c r="E55" s="23" t="n">
        <x:v>0</x:v>
      </x:c>
      <x:c r="F55" s="1"/>
      <x:c r="G55" s="1"/>
      <x:c r="H55" s="1"/>
      <x:c r="I55" s="1"/>
      <x:c r="J55" s="1"/>
      <x:c r="K55" s="1"/>
      <x:c r="L55" s="1"/>
      <x:c r="M55" s="1" t="str">
        <x:v>Zero is a quoted-cost placeholder. Hybrid results exclude unpriced tunnels.</x:v>
      </x:c>
      <x:c r="N55" s="1"/>
      <x:c r="O55" s="1"/>
      <x:c r="P55" s="1"/>
      <x:c r="Q55" s="1"/>
    </x:row>
    <x:row r="56" ht="21" customHeight="1">
      <x:c r="A56" s="1"/>
      <x:c r="B56" s="1"/>
      <x:c r="C56" s="1" t="str">
        <x:v>External-cost contingency fraction</x:v>
      </x:c>
      <x:c r="D56" s="1"/>
      <x:c r="E56" s="21" t="n">
        <x:v>0.25</x:v>
      </x:c>
      <x:c r="F56" s="1"/>
      <x:c r="G56" s="1"/>
      <x:c r="H56" s="1"/>
      <x:c r="I56" s="1"/>
      <x:c r="J56" s="1"/>
      <x:c r="K56" s="1"/>
      <x:c r="L56" s="1"/>
      <x:c r="M56" s="1" t="str">
        <x:v>Planning assumption; replace with measured usage or actual invoice.</x:v>
      </x:c>
      <x:c r="N56" s="1"/>
      <x:c r="O56" s="1"/>
      <x:c r="P56" s="1"/>
      <x:c r="Q56" s="1"/>
    </x:row>
    <x:row r="57" ht="21" customHeight="1">
      <x:c r="A57" s="1"/>
      <x:c r="B57" s="1"/>
      <x:c r="C57" s="1" t="str">
        <x:v>Operator hours/month</x:v>
      </x:c>
      <x:c r="D57" s="1"/>
      <x:c r="E57" s="23" t="n">
        <x:v>10</x:v>
      </x:c>
      <x:c r="F57" s="1"/>
      <x:c r="G57" s="1"/>
      <x:c r="H57" s="1"/>
      <x:c r="I57" s="1"/>
      <x:c r="J57" s="1"/>
      <x:c r="K57" s="1"/>
      <x:c r="L57" s="1"/>
      <x:c r="M57" s="1" t="str">
        <x:v>Planning assumption; replace with measured usage or actual invoice.</x:v>
      </x:c>
      <x:c r="N57" s="1"/>
      <x:c r="O57" s="1"/>
      <x:c r="P57" s="1"/>
      <x:c r="Q57" s="1"/>
    </x:row>
    <x:row r="58" ht="21" customHeight="1">
      <x:c r="A58" s="1"/>
      <x:c r="B58" s="1"/>
      <x:c r="C58" s="1" t="str">
        <x:v>Incident hours/month</x:v>
      </x:c>
      <x:c r="D58" s="1"/>
      <x:c r="E58" s="23" t="n">
        <x:v>2</x:v>
      </x:c>
      <x:c r="F58" s="1"/>
      <x:c r="G58" s="1"/>
      <x:c r="H58" s="1"/>
      <x:c r="I58" s="1"/>
      <x:c r="J58" s="1"/>
      <x:c r="K58" s="1"/>
      <x:c r="L58" s="1"/>
      <x:c r="M58" s="1" t="str">
        <x:v>Planning assumption; replace with measured usage or actual invoice.</x:v>
      </x:c>
      <x:c r="N58" s="1"/>
      <x:c r="O58" s="1"/>
      <x:c r="P58" s="1"/>
      <x:c r="Q58" s="1"/>
    </x:row>
    <x:row r="59" ht="21" customHeight="1">
      <x:c r="A59" s="1"/>
      <x:c r="B59" s="1"/>
      <x:c r="C59" s="1" t="str">
        <x:v>Engineering GBP/hour</x:v>
      </x:c>
      <x:c r="D59" s="1"/>
      <x:c r="E59" s="23" t="n">
        <x:v>60</x:v>
      </x:c>
      <x:c r="F59" s="1"/>
      <x:c r="G59" s="1"/>
      <x:c r="H59" s="1"/>
      <x:c r="I59" s="1"/>
      <x:c r="J59" s="1"/>
      <x:c r="K59" s="1"/>
      <x:c r="L59" s="1"/>
      <x:c r="M59" s="1" t="str">
        <x:v>Planning assumption; replace with measured usage or actual invoice.</x:v>
      </x:c>
      <x:c r="N59" s="1"/>
      <x:c r="O59" s="1"/>
      <x:c r="P59" s="1"/>
      <x:c r="Q59" s="1"/>
    </x:row>
    <x:row r="60" ht="21" customHeight="1">
      <x:c r="A60" s="1"/>
      <x:c r="B60" s="1"/>
      <x:c r="C60" s="1" t="str">
        <x:v>One-time measurement hours in Oct-26</x:v>
      </x:c>
      <x:c r="D60" s="1"/>
      <x:c r="E60" s="23" t="n">
        <x:v>24</x:v>
      </x:c>
      <x:c r="F60" s="1"/>
      <x:c r="G60" s="1"/>
      <x:c r="H60" s="1"/>
      <x:c r="I60" s="1"/>
      <x:c r="J60" s="1"/>
      <x:c r="K60" s="1"/>
      <x:c r="L60" s="1"/>
      <x:c r="M60" s="1" t="str">
        <x:v>Planning assumption; replace with measured usage or actual invoice.</x:v>
      </x:c>
      <x:c r="N60" s="1"/>
      <x:c r="O60" s="1"/>
      <x:c r="P60" s="1"/>
      <x:c r="Q60" s="1"/>
    </x:row>
    <x:row r="61" ht="21" customHeight="1">
      <x:c r="A61" s="1"/>
      <x:c r="B61" s="1"/>
      <x:c r="C61" s="1" t="str">
        <x:v>Support contacts per monthly active user</x:v>
      </x:c>
      <x:c r="D61" s="1"/>
      <x:c r="E61" s="23" t="n">
        <x:v>0.02</x:v>
      </x:c>
      <x:c r="F61" s="1"/>
      <x:c r="G61" s="1"/>
      <x:c r="H61" s="1"/>
      <x:c r="I61" s="1"/>
      <x:c r="J61" s="1"/>
      <x:c r="K61" s="1"/>
      <x:c r="L61" s="1"/>
      <x:c r="M61" s="1" t="str">
        <x:v>Planning assumption; replace with measured usage or actual invoice.</x:v>
      </x:c>
      <x:c r="N61" s="1"/>
      <x:c r="O61" s="1"/>
      <x:c r="P61" s="1"/>
      <x:c r="Q61" s="1"/>
    </x:row>
    <x:row r="62" ht="21" customHeight="1">
      <x:c r="A62" s="1"/>
      <x:c r="B62" s="1"/>
      <x:c r="C62" s="1" t="str">
        <x:v>Minutes per support contact</x:v>
      </x:c>
      <x:c r="D62" s="1"/>
      <x:c r="E62" s="23" t="n">
        <x:v>20</x:v>
      </x:c>
      <x:c r="F62" s="1"/>
      <x:c r="G62" s="1"/>
      <x:c r="H62" s="1"/>
      <x:c r="I62" s="1"/>
      <x:c r="J62" s="1"/>
      <x:c r="K62" s="1"/>
      <x:c r="L62" s="1"/>
      <x:c r="M62" s="1" t="str">
        <x:v>Planning assumption; replace with measured usage or actual invoice.</x:v>
      </x:c>
      <x:c r="N62" s="1"/>
      <x:c r="O62" s="1"/>
      <x:c r="P62" s="1"/>
      <x:c r="Q62" s="1"/>
    </x:row>
    <x:row r="63" ht="21" customHeight="1">
      <x:c r="A63" s="1"/>
      <x:c r="B63" s="1"/>
      <x:c r="C63" s="1" t="str">
        <x:v>Support GBP/hour</x:v>
      </x:c>
      <x:c r="D63" s="1"/>
      <x:c r="E63" s="23" t="n">
        <x:v>30</x:v>
      </x:c>
      <x:c r="F63" s="1"/>
      <x:c r="G63" s="1"/>
      <x:c r="H63" s="1"/>
      <x:c r="I63" s="1"/>
      <x:c r="J63" s="1"/>
      <x:c r="K63" s="1"/>
      <x:c r="L63" s="1"/>
      <x:c r="M63" s="1" t="str">
        <x:v>Planning assumption; replace with measured usage or actual invoice.</x:v>
      </x:c>
      <x:c r="N63" s="1"/>
      <x:c r="O63" s="1"/>
      <x:c r="P63" s="1"/>
      <x:c r="Q63" s="1"/>
    </x:row>
    <x:row r="64" ht="21" customHeight="1">
      <x:c r="A64" s="1"/>
      <x:c r="B64" s="1"/>
      <x:c r="C64" s="1" t="str">
        <x:v>Share of allocated labour paid in cash</x:v>
      </x:c>
      <x:c r="D64" s="1"/>
      <x:c r="E64" s="21" t="n">
        <x:v>0</x:v>
      </x:c>
      <x:c r="F64" s="1"/>
      <x:c r="G64" s="1"/>
      <x:c r="H64" s="1"/>
      <x:c r="I64" s="1"/>
      <x:c r="J64" s="1"/>
      <x:c r="K64" s="1"/>
      <x:c r="L64" s="1"/>
      <x:c r="M64" s="1" t="str">
        <x:v>Zero budgets founder time as opportunity cost. Set to 100% if fully paid.</x:v>
      </x:c>
      <x:c r="N64" s="1"/>
      <x:c r="O64" s="1"/>
      <x:c r="P64" s="1"/>
      <x:c r="Q64" s="1"/>
    </x:row>
    <x:row r="65" ht="21" customHeight="1">
      <x:c r="A65" s="1"/>
      <x:c r="B65" s="1"/>
      <x:c r="C65" s="1" t="str">
        <x:v>Opening external-cost reserve GBP</x:v>
      </x:c>
      <x:c r="D65" s="1"/>
      <x:c r="E65" s="23" t="n">
        <x:v>5000</x:v>
      </x:c>
      <x:c r="F65" s="1"/>
      <x:c r="G65" s="1"/>
      <x:c r="H65" s="1"/>
      <x:c r="I65" s="1"/>
      <x:c r="J65" s="1"/>
      <x:c r="K65" s="1"/>
      <x:c r="L65" s="1"/>
      <x:c r="M65" s="1" t="str">
        <x:v>Planning assumption; replace with measured usage or actual invoice.</x:v>
      </x:c>
      <x:c r="N65" s="1"/>
      <x:c r="O65" s="1"/>
      <x:c r="P65" s="1"/>
      <x:c r="Q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4" customHeight="1">
      <x:c r="A67" s="1"/>
      <x:c r="B67" s="1"/>
      <x:c r="C67" s="17" t="str">
        <x:v>Future Cloud Agents assumptions</x:v>
      </x:c>
      <x:c r="D67" s="17"/>
      <x:c r="E67" s="17"/>
      <x:c r="F67" s="17"/>
      <x:c r="G67" s="17"/>
      <x:c r="H67" s="17"/>
      <x:c r="I67" s="17"/>
      <x:c r="J67" s="17"/>
      <x:c r="K67" s="17"/>
      <x:c r="L67" s="1"/>
      <x:c r="M67" s="1"/>
      <x:c r="N67" s="1"/>
      <x:c r="O67" s="1"/>
      <x:c r="P67" s="1"/>
      <x:c r="Q67" s="1"/>
    </x:row>
    <x:row r="68" ht="21" customHeight="1">
      <x:c r="A68" s="1"/>
      <x:c r="B68" s="1"/>
      <x:c r="C68" s="1" t="str">
        <x:v>Launch month (0 disabled; 1 to 12)</x:v>
      </x:c>
      <x:c r="D68" s="1"/>
      <x:c r="E68" s="23" t="n">
        <x:v>0</x:v>
      </x:c>
      <x:c r="F68" s="1"/>
      <x:c r="G68" s="1"/>
      <x:c r="H68" s="1"/>
      <x:c r="I68" s="1"/>
      <x:c r="J68" s="1"/>
      <x:c r="K68" s="1"/>
      <x:c r="L68" s="1"/>
      <x:c r="M68" s="1" t="str">
        <x:v>Illustrative future operating assumption. Cloud Agents remain disabled.</x:v>
      </x:c>
      <x:c r="N68" s="1"/>
      <x:c r="O68" s="1"/>
      <x:c r="P68" s="1"/>
      <x:c r="Q68" s="1"/>
    </x:row>
    <x:row r="69" ht="21" customHeight="1">
      <x:c r="A69" s="1"/>
      <x:c r="B69" s="1"/>
      <x:c r="C69" s="1" t="str">
        <x:v>Active users buying execution</x:v>
      </x:c>
      <x:c r="D69" s="1"/>
      <x:c r="E69" s="21" t="n">
        <x:v>0.03</x:v>
      </x:c>
      <x:c r="F69" s="1"/>
      <x:c r="G69" s="1"/>
      <x:c r="H69" s="1"/>
      <x:c r="I69" s="1"/>
      <x:c r="J69" s="1"/>
      <x:c r="K69" s="1"/>
      <x:c r="L69" s="1"/>
      <x:c r="M69" s="1" t="str">
        <x:v>Illustrative future operating assumption. Cloud Agents remain disabled.</x:v>
      </x:c>
      <x:c r="N69" s="1"/>
      <x:c r="O69" s="1"/>
      <x:c r="P69" s="1"/>
      <x:c r="Q69" s="1"/>
    </x:row>
    <x:row r="70" ht="21" customHeight="1">
      <x:c r="A70" s="1"/>
      <x:c r="B70" s="1"/>
      <x:c r="C70" s="1" t="str">
        <x:v>Billed hours per buyer/month</x:v>
      </x:c>
      <x:c r="D70" s="1"/>
      <x:c r="E70" s="23" t="n">
        <x:v>20</x:v>
      </x:c>
      <x:c r="F70" s="1"/>
      <x:c r="G70" s="1"/>
      <x:c r="H70" s="1"/>
      <x:c r="I70" s="1"/>
      <x:c r="J70" s="1"/>
      <x:c r="K70" s="1"/>
      <x:c r="L70" s="1"/>
      <x:c r="M70" s="1" t="str">
        <x:v>Illustrative future operating assumption. Cloud Agents remain disabled.</x:v>
      </x:c>
      <x:c r="N70" s="1"/>
      <x:c r="O70" s="1"/>
      <x:c r="P70" s="1"/>
      <x:c r="Q70" s="1"/>
    </x:row>
    <x:row r="71" ht="21" customHeight="1">
      <x:c r="A71" s="1"/>
      <x:c r="B71" s="1"/>
      <x:c r="C71" s="1" t="str">
        <x:v>Illustrative GBP per billed hour</x:v>
      </x:c>
      <x:c r="D71" s="1"/>
      <x:c r="E71" s="23" t="n">
        <x:v>0.5</x:v>
      </x:c>
      <x:c r="F71" s="1"/>
      <x:c r="G71" s="1"/>
      <x:c r="H71" s="1"/>
      <x:c r="I71" s="1"/>
      <x:c r="J71" s="1"/>
      <x:c r="K71" s="1"/>
      <x:c r="L71" s="1"/>
      <x:c r="M71" s="1" t="str">
        <x:v>Illustrative future operating assumption. Cloud Agents remain disabled.</x:v>
      </x:c>
      <x:c r="N71" s="1"/>
      <x:c r="O71" s="1"/>
      <x:c r="P71" s="1"/>
      <x:c r="Q71" s="1"/>
    </x:row>
    <x:row r="72" ht="21" customHeight="1">
      <x:c r="A72" s="1"/>
      <x:c r="B72" s="1"/>
      <x:c r="C72" s="1" t="str">
        <x:v>Provisioned vCPU</x:v>
      </x:c>
      <x:c r="D72" s="1"/>
      <x:c r="E72" s="23" t="n">
        <x:v>0.5</x:v>
      </x:c>
      <x:c r="F72" s="1"/>
      <x:c r="G72" s="1"/>
      <x:c r="H72" s="1"/>
      <x:c r="I72" s="1"/>
      <x:c r="J72" s="1"/>
      <x:c r="K72" s="1"/>
      <x:c r="L72" s="1"/>
      <x:c r="M72" s="1" t="str">
        <x:v>Illustrative future operating assumption. Cloud Agents remain disabled.</x:v>
      </x:c>
      <x:c r="N72" s="1"/>
      <x:c r="O72" s="1"/>
      <x:c r="P72" s="1"/>
      <x:c r="Q72" s="1"/>
    </x:row>
    <x:row r="73" ht="21" customHeight="1">
      <x:c r="A73" s="1"/>
      <x:c r="B73" s="1"/>
      <x:c r="C73" s="1" t="str">
        <x:v>Provisioned memory GiB</x:v>
      </x:c>
      <x:c r="D73" s="1"/>
      <x:c r="E73" s="23" t="n">
        <x:v>4</x:v>
      </x:c>
      <x:c r="F73" s="1"/>
      <x:c r="G73" s="1"/>
      <x:c r="H73" s="1"/>
      <x:c r="I73" s="1"/>
      <x:c r="J73" s="1"/>
      <x:c r="K73" s="1"/>
      <x:c r="L73" s="1"/>
      <x:c r="M73" s="1" t="str">
        <x:v>Illustrative future operating assumption. Cloud Agents remain disabled.</x:v>
      </x:c>
      <x:c r="N73" s="1"/>
      <x:c r="O73" s="1"/>
      <x:c r="P73" s="1"/>
      <x:c r="Q73" s="1"/>
    </x:row>
    <x:row r="74" ht="21" customHeight="1">
      <x:c r="A74" s="1"/>
      <x:c r="B74" s="1"/>
      <x:c r="C74" s="1" t="str">
        <x:v>Provisioned disk GB</x:v>
      </x:c>
      <x:c r="D74" s="1"/>
      <x:c r="E74" s="23" t="n">
        <x:v>8</x:v>
      </x:c>
      <x:c r="F74" s="1"/>
      <x:c r="G74" s="1"/>
      <x:c r="H74" s="1"/>
      <x:c r="I74" s="1"/>
      <x:c r="J74" s="1"/>
      <x:c r="K74" s="1"/>
      <x:c r="L74" s="1"/>
      <x:c r="M74" s="1" t="str">
        <x:v>Illustrative future operating assumption. Cloud Agents remain disabled.</x:v>
      </x:c>
      <x:c r="N74" s="1"/>
      <x:c r="O74" s="1"/>
      <x:c r="P74" s="1"/>
      <x:c r="Q74" s="1"/>
    </x:row>
    <x:row r="75" ht="21" customHeight="1">
      <x:c r="A75" s="1"/>
      <x:c r="B75" s="1"/>
      <x:c r="C75" s="1" t="str">
        <x:v>Active CPU utilization</x:v>
      </x:c>
      <x:c r="D75" s="1"/>
      <x:c r="E75" s="21" t="n">
        <x:v>0.25</x:v>
      </x:c>
      <x:c r="F75" s="1"/>
      <x:c r="G75" s="1"/>
      <x:c r="H75" s="1"/>
      <x:c r="I75" s="1"/>
      <x:c r="J75" s="1"/>
      <x:c r="K75" s="1"/>
      <x:c r="L75" s="1"/>
      <x:c r="M75" s="1" t="str">
        <x:v>Illustrative future operating assumption. Cloud Agents remain disabled.</x:v>
      </x:c>
      <x:c r="N75" s="1"/>
      <x:c r="O75" s="1"/>
      <x:c r="P75" s="1"/>
      <x:c r="Q75" s="1"/>
    </x:row>
    <x:row r="76" ht="21" customHeight="1">
      <x:c r="A76" s="1"/>
      <x:c r="B76" s="1"/>
      <x:c r="C76" s="1" t="str">
        <x:v>Startup, warm idle and retry overhead</x:v>
      </x:c>
      <x:c r="D76" s="1"/>
      <x:c r="E76" s="21" t="n">
        <x:v>0.25</x:v>
      </x:c>
      <x:c r="F76" s="1"/>
      <x:c r="G76" s="1"/>
      <x:c r="H76" s="1"/>
      <x:c r="I76" s="1"/>
      <x:c r="J76" s="1"/>
      <x:c r="K76" s="1"/>
      <x:c r="L76" s="1"/>
      <x:c r="M76" s="1" t="str">
        <x:v>Illustrative future operating assumption. Cloud Agents remain disabled.</x:v>
      </x:c>
      <x:c r="N76" s="1"/>
      <x:c r="O76" s="1"/>
      <x:c r="P76" s="1"/>
      <x:c r="Q76" s="1"/>
    </x:row>
    <x:row r="77" ht="21" customHeight="1">
      <x:c r="A77" s="1"/>
      <x:c r="B77" s="1"/>
      <x:c r="C77" s="1" t="str">
        <x:v>Worker requests per running hour</x:v>
      </x:c>
      <x:c r="D77" s="1"/>
      <x:c r="E77" s="23" t="n">
        <x:v>600</x:v>
      </x:c>
      <x:c r="F77" s="1"/>
      <x:c r="G77" s="1"/>
      <x:c r="H77" s="1"/>
      <x:c r="I77" s="1"/>
      <x:c r="J77" s="1"/>
      <x:c r="K77" s="1"/>
      <x:c r="L77" s="1"/>
      <x:c r="M77" s="1" t="str">
        <x:v>Illustrative future operating assumption. Cloud Agents remain disabled.</x:v>
      </x:c>
      <x:c r="N77" s="1"/>
      <x:c r="O77" s="1"/>
      <x:c r="P77" s="1"/>
      <x:c r="Q77" s="1"/>
    </x:row>
    <x:row r="78" ht="21" customHeight="1">
      <x:c r="A78" s="1"/>
      <x:c r="B78" s="1"/>
      <x:c r="C78" s="1" t="str">
        <x:v>Backend-object requests per running hour</x:v>
      </x:c>
      <x:c r="D78" s="1"/>
      <x:c r="E78" s="23" t="n">
        <x:v>1800</x:v>
      </x:c>
      <x:c r="F78" s="1"/>
      <x:c r="G78" s="1"/>
      <x:c r="H78" s="1"/>
      <x:c r="I78" s="1"/>
      <x:c r="J78" s="1"/>
      <x:c r="K78" s="1"/>
      <x:c r="L78" s="1"/>
      <x:c r="M78" s="1" t="str">
        <x:v>Illustrative future operating assumption. Cloud Agents remain disabled.</x:v>
      </x:c>
      <x:c r="N78" s="1"/>
      <x:c r="O78" s="1"/>
      <x:c r="P78" s="1"/>
      <x:c r="Q78" s="1"/>
    </x:row>
    <x:row r="79" ht="21" customHeight="1">
      <x:c r="A79" s="1"/>
      <x:c r="B79" s="1"/>
      <x:c r="C79" s="1" t="str">
        <x:v>SQLite write rows per running hour</x:v>
      </x:c>
      <x:c r="D79" s="1"/>
      <x:c r="E79" s="23" t="n">
        <x:v>1000</x:v>
      </x:c>
      <x:c r="F79" s="1"/>
      <x:c r="G79" s="1"/>
      <x:c r="H79" s="1"/>
      <x:c r="I79" s="1"/>
      <x:c r="J79" s="1"/>
      <x:c r="K79" s="1"/>
      <x:c r="L79" s="1"/>
      <x:c r="M79" s="1" t="str">
        <x:v>Illustrative future operating assumption. Cloud Agents remain disabled.</x:v>
      </x:c>
      <x:c r="N79" s="1"/>
      <x:c r="O79" s="1"/>
      <x:c r="P79" s="1"/>
      <x:c r="Q79" s="1"/>
    </x:row>
    <x:row r="80" ht="21" customHeight="1">
      <x:c r="A80" s="1"/>
      <x:c r="B80" s="1"/>
      <x:c r="C80" s="1" t="str">
        <x:v>SQLite read rows per running hour</x:v>
      </x:c>
      <x:c r="D80" s="1"/>
      <x:c r="E80" s="23" t="n">
        <x:v>10000</x:v>
      </x:c>
      <x:c r="F80" s="1"/>
      <x:c r="G80" s="1"/>
      <x:c r="H80" s="1"/>
      <x:c r="I80" s="1"/>
      <x:c r="J80" s="1"/>
      <x:c r="K80" s="1"/>
      <x:c r="L80" s="1"/>
      <x:c r="M80" s="1" t="str">
        <x:v>Illustrative future operating assumption. Cloud Agents remain disabled.</x:v>
      </x:c>
      <x:c r="N80" s="1"/>
      <x:c r="O80" s="1"/>
      <x:c r="P80" s="1"/>
      <x:c r="Q80" s="1"/>
    </x:row>
    <x:row r="81" ht="21" customHeight="1">
      <x:c r="A81" s="1"/>
      <x:c r="B81" s="1"/>
      <x:c r="C81" s="1" t="str">
        <x:v>Logs GB per running hour</x:v>
      </x:c>
      <x:c r="D81" s="1"/>
      <x:c r="E81" s="23" t="n">
        <x:v>0.001</x:v>
      </x:c>
      <x:c r="F81" s="1"/>
      <x:c r="G81" s="1"/>
      <x:c r="H81" s="1"/>
      <x:c r="I81" s="1"/>
      <x:c r="J81" s="1"/>
      <x:c r="K81" s="1"/>
      <x:c r="L81" s="1"/>
      <x:c r="M81" s="1" t="str">
        <x:v>Illustrative future operating assumption. Cloud Agents remain disabled.</x:v>
      </x:c>
      <x:c r="N81" s="1"/>
      <x:c r="O81" s="1"/>
      <x:c r="P81" s="1"/>
      <x:c r="Q81" s="1"/>
    </x:row>
    <x:row r="82" ht="21" customHeight="1">
      <x:c r="A82" s="1"/>
      <x:c r="B82" s="1"/>
      <x:c r="C82" s="1" t="str">
        <x:v>Container egress GB per running hour</x:v>
      </x:c>
      <x:c r="D82" s="1"/>
      <x:c r="E82" s="23" t="n">
        <x:v>0.1</x:v>
      </x:c>
      <x:c r="F82" s="1"/>
      <x:c r="G82" s="1"/>
      <x:c r="H82" s="1"/>
      <x:c r="I82" s="1"/>
      <x:c r="J82" s="1"/>
      <x:c r="K82" s="1"/>
      <x:c r="L82" s="1"/>
      <x:c r="M82" s="1" t="str">
        <x:v>Illustrative future operating assumption. Cloud Agents remain disabled.</x:v>
      </x:c>
      <x:c r="N82" s="1"/>
      <x:c r="O82" s="1"/>
      <x:c r="P82" s="1"/>
      <x:c r="Q82" s="1"/>
    </x:row>
    <x:row r="83" ht="21" customHeight="1">
      <x:c r="A83" s="1"/>
      <x:c r="B83" s="1"/>
      <x:c r="C83" s="1" t="str">
        <x:v>Card payment percentage</x:v>
      </x:c>
      <x:c r="D83" s="1"/>
      <x:c r="E83" s="21" t="n">
        <x:v>0.015</x:v>
      </x:c>
      <x:c r="F83" s="1"/>
      <x:c r="G83" s="1"/>
      <x:c r="H83" s="1"/>
      <x:c r="I83" s="1"/>
      <x:c r="J83" s="1"/>
      <x:c r="K83" s="1"/>
      <x:c r="L83" s="1"/>
      <x:c r="M83" s="1" t="str">
        <x:v>https://stripe.com/gb/pricing</x:v>
      </x:c>
      <x:c r="N83" s="1"/>
      <x:c r="O83" s="1"/>
      <x:c r="P83" s="1"/>
      <x:c r="Q83" s="1"/>
    </x:row>
    <x:row r="84" ht="21" customHeight="1">
      <x:c r="A84" s="1"/>
      <x:c r="B84" s="1"/>
      <x:c r="C84" s="1" t="str">
        <x:v>Fixed payment GBP</x:v>
      </x:c>
      <x:c r="D84" s="1"/>
      <x:c r="E84" s="23" t="n">
        <x:v>0.2</x:v>
      </x:c>
      <x:c r="F84" s="1"/>
      <x:c r="G84" s="1"/>
      <x:c r="H84" s="1"/>
      <x:c r="I84" s="1"/>
      <x:c r="J84" s="1"/>
      <x:c r="K84" s="1"/>
      <x:c r="L84" s="1"/>
      <x:c r="M84" s="1" t="str">
        <x:v>https://stripe.com/gb/pricing</x:v>
      </x:c>
      <x:c r="N84" s="1"/>
      <x:c r="O84" s="1"/>
      <x:c r="P84" s="1"/>
      <x:c r="Q84" s="1"/>
    </x:row>
    <x:row r="85" ht="21" customHeight="1">
      <x:c r="A85" s="1"/>
      <x:c r="B85" s="1"/>
      <x:c r="C85" s="1" t="str">
        <x:v>Average top-up GBP</x:v>
      </x:c>
      <x:c r="D85" s="1"/>
      <x:c r="E85" s="23" t="n">
        <x:v>20</x:v>
      </x:c>
      <x:c r="F85" s="1"/>
      <x:c r="G85" s="1"/>
      <x:c r="H85" s="1"/>
      <x:c r="I85" s="1"/>
      <x:c r="J85" s="1"/>
      <x:c r="K85" s="1"/>
      <x:c r="L85" s="1"/>
      <x:c r="M85" s="1" t="str">
        <x:v>https://stripe.com/gb/pricing</x:v>
      </x:c>
      <x:c r="N85" s="1"/>
      <x:c r="O85" s="1"/>
      <x:c r="P85" s="1"/>
      <x:c r="Q85" s="1"/>
    </x:row>
    <x:row r="86" ht="21" customHeight="1">
      <x:c r="A86" s="1"/>
      <x:c r="B86" s="1"/>
      <x:c r="C86" s="1" t="str">
        <x:v>Optional Stripe Billing reserve</x:v>
      </x:c>
      <x:c r="D86" s="1"/>
      <x:c r="E86" s="21" t="n">
        <x:v>0.007</x:v>
      </x:c>
      <x:c r="F86" s="1"/>
      <x:c r="G86" s="1"/>
      <x:c r="H86" s="1"/>
      <x:c r="I86" s="1"/>
      <x:c r="J86" s="1"/>
      <x:c r="K86" s="1"/>
      <x:c r="L86" s="1"/>
      <x:c r="M86" s="1" t="str">
        <x:v>https://stripe.com/gb/pricing</x:v>
      </x:c>
      <x:c r="N86" s="1"/>
      <x:c r="O86" s="1"/>
      <x:c r="P86" s="1"/>
      <x:c r="Q86" s="1"/>
    </x:row>
    <x:row r="87" ht="21" customHeight="1">
      <x:c r="A87" s="1"/>
      <x:c r="B87" s="1"/>
      <x:c r="C87" s="1" t="str">
        <x:v>Refund and fraud reserve fraction</x:v>
      </x:c>
      <x:c r="D87" s="1"/>
      <x:c r="E87" s="21" t="n">
        <x:v>0.02</x:v>
      </x:c>
      <x:c r="F87" s="1"/>
      <x:c r="G87" s="1"/>
      <x:c r="H87" s="1"/>
      <x:c r="I87" s="1"/>
      <x:c r="J87" s="1"/>
      <x:c r="K87" s="1"/>
      <x:c r="L87" s="1"/>
      <x:c r="M87" s="1" t="str">
        <x:v>Illustrative future operating assumption. Cloud Agents remain disabled.</x:v>
      </x:c>
      <x:c r="N87" s="1"/>
      <x:c r="O87" s="1"/>
      <x:c r="P87" s="1"/>
      <x:c r="Q87" s="1"/>
    </x:row>
    <x:row r="88" ht="21" customHeight="1">
      <x:c r="A88" s="1"/>
      <x:c r="B88" s="1"/>
      <x:c r="C88" s="1" t="str">
        <x:v>Allocated support GBP per buyer/month</x:v>
      </x:c>
      <x:c r="D88" s="1"/>
      <x:c r="E88" s="23" t="n">
        <x:v>0.25</x:v>
      </x:c>
      <x:c r="F88" s="1"/>
      <x:c r="G88" s="1"/>
      <x:c r="H88" s="1"/>
      <x:c r="I88" s="1"/>
      <x:c r="J88" s="1"/>
      <x:c r="K88" s="1"/>
      <x:c r="L88" s="1"/>
      <x:c r="M88" s="1" t="str">
        <x:v>Illustrative future operating assumption. Cloud Agents remain disabled.</x:v>
      </x:c>
      <x:c r="N88" s="1"/>
      <x:c r="O88" s="1"/>
      <x:c r="P88" s="1"/>
      <x:c r="Q88" s="1"/>
    </x:row>
    <x:row r="89" ht="21" customHeight="1">
      <x:c r="A89" s="1"/>
      <x:c r="B89" s="1"/>
      <x:c r="C89" s="1" t="str">
        <x:v>Peak-to-average running containers</x:v>
      </x:c>
      <x:c r="D89" s="1"/>
      <x:c r="E89" s="23" t="n">
        <x:v>6</x:v>
      </x:c>
      <x:c r="F89" s="1"/>
      <x:c r="G89" s="1"/>
      <x:c r="H89" s="1"/>
      <x:c r="I89" s="1"/>
      <x:c r="J89" s="1"/>
      <x:c r="K89" s="1"/>
      <x:c r="L89" s="1"/>
      <x:c r="M89" s="1" t="str">
        <x:v>Illustrative future operating assumption. Cloud Agents remain disabled.</x:v>
      </x:c>
      <x:c r="N89" s="1"/>
      <x:c r="O89" s="1"/>
      <x:c r="P89" s="1"/>
      <x:c r="Q89" s="1"/>
    </x:row>
    <x:row r="90" ht="21" customHeight="1">
      <x:c r="A90" s="1"/>
      <x:c r="B90" s="1"/>
      <x:c r="C90" s="1" t="str">
        <x:v>Legacy provisioner instance cap</x:v>
      </x:c>
      <x:c r="D90" s="1"/>
      <x:c r="E90" s="23" t="n">
        <x:v>20</x:v>
      </x:c>
      <x:c r="F90" s="1"/>
      <x:c r="G90" s="1"/>
      <x:c r="H90" s="1"/>
      <x:c r="I90" s="1"/>
      <x:c r="J90" s="1"/>
      <x:c r="K90" s="1"/>
      <x:c r="L90" s="1"/>
      <x:c r="M90" s="1" t="str">
        <x:v>Illustrative future operating assumption. Cloud Agents remain disabled.</x:v>
      </x:c>
      <x:c r="N90" s="1"/>
      <x:c r="O90" s="1"/>
      <x:c r="P90" s="1"/>
      <x:c r="Q90" s="1"/>
    </x:row>
    <x:row r="91" ht="21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24" customHeight="1">
      <x:c r="A92" s="1"/>
      <x:c r="B92" s="1"/>
      <x:c r="C92" s="17" t="str">
        <x:v>Published USD rates and account allowances</x:v>
      </x:c>
      <x:c r="D92" s="17"/>
      <x:c r="E92" s="17"/>
      <x:c r="F92" s="17"/>
      <x:c r="G92" s="17"/>
      <x:c r="H92" s="17"/>
      <x:c r="I92" s="17"/>
      <x:c r="J92" s="17"/>
      <x:c r="K92" s="17"/>
      <x:c r="L92" s="1"/>
      <x:c r="M92" s="1"/>
      <x:c r="N92" s="1"/>
      <x:c r="O92" s="1"/>
      <x:c r="P92" s="1"/>
      <x:c r="Q92" s="1"/>
    </x:row>
    <x:row r="93" ht="21" customHeight="1">
      <x:c r="A93" s="1"/>
      <x:c r="B93" s="1"/>
      <x:c r="C93" s="1" t="str">
        <x:v>workersBase</x:v>
      </x:c>
      <x:c r="D93" s="1"/>
      <x:c r="E93" s="25" t="n">
        <x:v>5</x:v>
      </x:c>
      <x:c r="F93" s="1"/>
      <x:c r="G93" s="1"/>
      <x:c r="H93" s="1"/>
      <x:c r="I93" s="1"/>
      <x:c r="J93" s="1"/>
      <x:c r="K93" s="1"/>
      <x:c r="L93" s="1"/>
      <x:c r="M93" s="1" t="str">
        <x:v>https://developers.cloudflare.com/workers/platform/pricing/</x:v>
      </x:c>
      <x:c r="N93" s="1"/>
      <x:c r="O93" s="1"/>
      <x:c r="P93" s="1"/>
      <x:c r="Q93" s="1"/>
    </x:row>
    <x:row r="94" ht="21" customHeight="1">
      <x:c r="A94" s="1"/>
      <x:c r="B94" s="1"/>
      <x:c r="C94" s="1" t="str">
        <x:v>httpIncluded</x:v>
      </x:c>
      <x:c r="D94" s="1"/>
      <x:c r="E94" s="25" t="n">
        <x:v>10000000</x:v>
      </x:c>
      <x:c r="F94" s="1"/>
      <x:c r="G94" s="1"/>
      <x:c r="H94" s="1"/>
      <x:c r="I94" s="1"/>
      <x:c r="J94" s="1"/>
      <x:c r="K94" s="1"/>
      <x:c r="L94" s="1"/>
      <x:c r="M94" s="1" t="str">
        <x:v>https://developers.cloudflare.com/workers/platform/pricing/</x:v>
      </x:c>
      <x:c r="N94" s="1"/>
      <x:c r="O94" s="1"/>
      <x:c r="P94" s="1"/>
      <x:c r="Q94" s="1"/>
    </x:row>
    <x:row r="95" ht="21" customHeight="1">
      <x:c r="A95" s="1"/>
      <x:c r="B95" s="1"/>
      <x:c r="C95" s="1" t="str">
        <x:v>httpPerMillion</x:v>
      </x:c>
      <x:c r="D95" s="1"/>
      <x:c r="E95" s="25" t="n">
        <x:v>0.3</x:v>
      </x:c>
      <x:c r="F95" s="1"/>
      <x:c r="G95" s="1"/>
      <x:c r="H95" s="1"/>
      <x:c r="I95" s="1"/>
      <x:c r="J95" s="1"/>
      <x:c r="K95" s="1"/>
      <x:c r="L95" s="1"/>
      <x:c r="M95" s="1" t="str">
        <x:v>https://developers.cloudflare.com/workers/platform/pricing/</x:v>
      </x:c>
      <x:c r="N95" s="1"/>
      <x:c r="O95" s="1"/>
      <x:c r="P95" s="1"/>
      <x:c r="Q95" s="1"/>
    </x:row>
    <x:row r="96" ht="21" customHeight="1">
      <x:c r="A96" s="1"/>
      <x:c r="B96" s="1"/>
      <x:c r="C96" s="1" t="str">
        <x:v>cpuIncluded</x:v>
      </x:c>
      <x:c r="D96" s="1"/>
      <x:c r="E96" s="25" t="n">
        <x:v>30000000</x:v>
      </x:c>
      <x:c r="F96" s="1"/>
      <x:c r="G96" s="1"/>
      <x:c r="H96" s="1"/>
      <x:c r="I96" s="1"/>
      <x:c r="J96" s="1"/>
      <x:c r="K96" s="1"/>
      <x:c r="L96" s="1"/>
      <x:c r="M96" s="1" t="str">
        <x:v>https://developers.cloudflare.com/workers/platform/pricing/</x:v>
      </x:c>
      <x:c r="N96" s="1"/>
      <x:c r="O96" s="1"/>
      <x:c r="P96" s="1"/>
      <x:c r="Q96" s="1"/>
    </x:row>
    <x:row r="97" ht="21" customHeight="1">
      <x:c r="A97" s="1"/>
      <x:c r="B97" s="1"/>
      <x:c r="C97" s="1" t="str">
        <x:v>cpuPerMillion</x:v>
      </x:c>
      <x:c r="D97" s="1"/>
      <x:c r="E97" s="25" t="n">
        <x:v>0.02</x:v>
      </x:c>
      <x:c r="F97" s="1"/>
      <x:c r="G97" s="1"/>
      <x:c r="H97" s="1"/>
      <x:c r="I97" s="1"/>
      <x:c r="J97" s="1"/>
      <x:c r="K97" s="1"/>
      <x:c r="L97" s="1"/>
      <x:c r="M97" s="1" t="str">
        <x:v>https://developers.cloudflare.com/workers/platform/pricing/</x:v>
      </x:c>
      <x:c r="N97" s="1"/>
      <x:c r="O97" s="1"/>
      <x:c r="P97" s="1"/>
      <x:c r="Q97" s="1"/>
    </x:row>
    <x:row r="98" ht="21" customHeight="1">
      <x:c r="A98" s="1"/>
      <x:c r="B98" s="1"/>
      <x:c r="C98" s="1" t="str">
        <x:v>doReqIncluded</x:v>
      </x:c>
      <x:c r="D98" s="1"/>
      <x:c r="E98" s="25" t="n">
        <x:v>1000000</x:v>
      </x:c>
      <x:c r="F98" s="1"/>
      <x:c r="G98" s="1"/>
      <x:c r="H98" s="1"/>
      <x:c r="I98" s="1"/>
      <x:c r="J98" s="1"/>
      <x:c r="K98" s="1"/>
      <x:c r="L98" s="1"/>
      <x:c r="M98" s="1" t="str">
        <x:v>https://developers.cloudflare.com/durable-objects/platform/pricing/</x:v>
      </x:c>
      <x:c r="N98" s="1"/>
      <x:c r="O98" s="1"/>
      <x:c r="P98" s="1"/>
      <x:c r="Q98" s="1"/>
    </x:row>
    <x:row r="99" ht="21" customHeight="1">
      <x:c r="A99" s="1"/>
      <x:c r="B99" s="1"/>
      <x:c r="C99" s="1" t="str">
        <x:v>doReqPerMillion</x:v>
      </x:c>
      <x:c r="D99" s="1"/>
      <x:c r="E99" s="25" t="n">
        <x:v>0.15</x:v>
      </x:c>
      <x:c r="F99" s="1"/>
      <x:c r="G99" s="1"/>
      <x:c r="H99" s="1"/>
      <x:c r="I99" s="1"/>
      <x:c r="J99" s="1"/>
      <x:c r="K99" s="1"/>
      <x:c r="L99" s="1"/>
      <x:c r="M99" s="1" t="str">
        <x:v>https://developers.cloudflare.com/durable-objects/platform/pricing/</x:v>
      </x:c>
      <x:c r="N99" s="1"/>
      <x:c r="O99" s="1"/>
      <x:c r="P99" s="1"/>
      <x:c r="Q99" s="1"/>
    </x:row>
    <x:row r="100" ht="21" customHeight="1">
      <x:c r="A100" s="1"/>
      <x:c r="B100" s="1"/>
      <x:c r="C100" s="1" t="str">
        <x:v>doDurationIncluded</x:v>
      </x:c>
      <x:c r="D100" s="1"/>
      <x:c r="E100" s="25" t="n">
        <x:v>400000</x:v>
      </x:c>
      <x:c r="F100" s="1"/>
      <x:c r="G100" s="1"/>
      <x:c r="H100" s="1"/>
      <x:c r="I100" s="1"/>
      <x:c r="J100" s="1"/>
      <x:c r="K100" s="1"/>
      <x:c r="L100" s="1"/>
      <x:c r="M100" s="1" t="str">
        <x:v>https://developers.cloudflare.com/durable-objects/platform/pricing/</x:v>
      </x:c>
      <x:c r="N100" s="1"/>
      <x:c r="O100" s="1"/>
      <x:c r="P100" s="1"/>
      <x:c r="Q100" s="1"/>
    </x:row>
    <x:row r="101" ht="21" customHeight="1">
      <x:c r="A101" s="1"/>
      <x:c r="B101" s="1"/>
      <x:c r="C101" s="1" t="str">
        <x:v>doDurationPerMillion</x:v>
      </x:c>
      <x:c r="D101" s="1"/>
      <x:c r="E101" s="25" t="n">
        <x:v>12.5</x:v>
      </x:c>
      <x:c r="F101" s="1"/>
      <x:c r="G101" s="1"/>
      <x:c r="H101" s="1"/>
      <x:c r="I101" s="1"/>
      <x:c r="J101" s="1"/>
      <x:c r="K101" s="1"/>
      <x:c r="L101" s="1"/>
      <x:c r="M101" s="1" t="str">
        <x:v>https://developers.cloudflare.com/durable-objects/platform/pricing/</x:v>
      </x:c>
      <x:c r="N101" s="1"/>
      <x:c r="O101" s="1"/>
      <x:c r="P101" s="1"/>
      <x:c r="Q101" s="1"/>
    </x:row>
    <x:row r="102" ht="21" customHeight="1">
      <x:c r="A102" s="1"/>
      <x:c r="B102" s="1"/>
      <x:c r="C102" s="1" t="str">
        <x:v>doReadsIncluded</x:v>
      </x:c>
      <x:c r="D102" s="1"/>
      <x:c r="E102" s="25" t="n">
        <x:v>25000000000</x:v>
      </x:c>
      <x:c r="F102" s="1"/>
      <x:c r="G102" s="1"/>
      <x:c r="H102" s="1"/>
      <x:c r="I102" s="1"/>
      <x:c r="J102" s="1"/>
      <x:c r="K102" s="1"/>
      <x:c r="L102" s="1"/>
      <x:c r="M102" s="1" t="str">
        <x:v>https://developers.cloudflare.com/durable-objects/platform/pricing/</x:v>
      </x:c>
      <x:c r="N102" s="1"/>
      <x:c r="O102" s="1"/>
      <x:c r="P102" s="1"/>
      <x:c r="Q102" s="1"/>
    </x:row>
    <x:row r="103" ht="21" customHeight="1">
      <x:c r="A103" s="1"/>
      <x:c r="B103" s="1"/>
      <x:c r="C103" s="1" t="str">
        <x:v>doReadsPerMillion</x:v>
      </x:c>
      <x:c r="D103" s="1"/>
      <x:c r="E103" s="25" t="n">
        <x:v>0.001</x:v>
      </x:c>
      <x:c r="F103" s="1"/>
      <x:c r="G103" s="1"/>
      <x:c r="H103" s="1"/>
      <x:c r="I103" s="1"/>
      <x:c r="J103" s="1"/>
      <x:c r="K103" s="1"/>
      <x:c r="L103" s="1"/>
      <x:c r="M103" s="1" t="str">
        <x:v>https://developers.cloudflare.com/durable-objects/platform/pricing/</x:v>
      </x:c>
      <x:c r="N103" s="1"/>
      <x:c r="O103" s="1"/>
      <x:c r="P103" s="1"/>
      <x:c r="Q103" s="1"/>
    </x:row>
    <x:row r="104" ht="21" customHeight="1">
      <x:c r="A104" s="1"/>
      <x:c r="B104" s="1"/>
      <x:c r="C104" s="1" t="str">
        <x:v>doWritesIncluded</x:v>
      </x:c>
      <x:c r="D104" s="1"/>
      <x:c r="E104" s="25" t="n">
        <x:v>50000000</x:v>
      </x:c>
      <x:c r="F104" s="1"/>
      <x:c r="G104" s="1"/>
      <x:c r="H104" s="1"/>
      <x:c r="I104" s="1"/>
      <x:c r="J104" s="1"/>
      <x:c r="K104" s="1"/>
      <x:c r="L104" s="1"/>
      <x:c r="M104" s="1" t="str">
        <x:v>https://developers.cloudflare.com/durable-objects/platform/pricing/</x:v>
      </x:c>
      <x:c r="N104" s="1"/>
      <x:c r="O104" s="1"/>
      <x:c r="P104" s="1"/>
      <x:c r="Q104" s="1"/>
    </x:row>
    <x:row r="105" ht="21" customHeight="1">
      <x:c r="A105" s="1"/>
      <x:c r="B105" s="1"/>
      <x:c r="C105" s="1" t="str">
        <x:v>doWritesPerMillion</x:v>
      </x:c>
      <x:c r="D105" s="1"/>
      <x:c r="E105" s="25" t="n">
        <x:v>1</x:v>
      </x:c>
      <x:c r="F105" s="1"/>
      <x:c r="G105" s="1"/>
      <x:c r="H105" s="1"/>
      <x:c r="I105" s="1"/>
      <x:c r="J105" s="1"/>
      <x:c r="K105" s="1"/>
      <x:c r="L105" s="1"/>
      <x:c r="M105" s="1" t="str">
        <x:v>https://developers.cloudflare.com/durable-objects/platform/pricing/</x:v>
      </x:c>
      <x:c r="N105" s="1"/>
      <x:c r="O105" s="1"/>
      <x:c r="P105" s="1"/>
      <x:c r="Q105" s="1"/>
    </x:row>
    <x:row r="106" ht="21" customHeight="1">
      <x:c r="A106" s="1"/>
      <x:c r="B106" s="1"/>
      <x:c r="C106" s="1" t="str">
        <x:v>doGbIncluded</x:v>
      </x:c>
      <x:c r="D106" s="1"/>
      <x:c r="E106" s="25" t="n">
        <x:v>5</x:v>
      </x:c>
      <x:c r="F106" s="1"/>
      <x:c r="G106" s="1"/>
      <x:c r="H106" s="1"/>
      <x:c r="I106" s="1"/>
      <x:c r="J106" s="1"/>
      <x:c r="K106" s="1"/>
      <x:c r="L106" s="1"/>
      <x:c r="M106" s="1" t="str">
        <x:v>https://developers.cloudflare.com/durable-objects/platform/pricing/</x:v>
      </x:c>
      <x:c r="N106" s="1"/>
      <x:c r="O106" s="1"/>
      <x:c r="P106" s="1"/>
      <x:c r="Q106" s="1"/>
    </x:row>
    <x:row r="107" ht="21" customHeight="1">
      <x:c r="A107" s="1"/>
      <x:c r="B107" s="1"/>
      <x:c r="C107" s="1" t="str">
        <x:v>doGbPrice</x:v>
      </x:c>
      <x:c r="D107" s="1"/>
      <x:c r="E107" s="25" t="n">
        <x:v>0.2</x:v>
      </x:c>
      <x:c r="F107" s="1"/>
      <x:c r="G107" s="1"/>
      <x:c r="H107" s="1"/>
      <x:c r="I107" s="1"/>
      <x:c r="J107" s="1"/>
      <x:c r="K107" s="1"/>
      <x:c r="L107" s="1"/>
      <x:c r="M107" s="1" t="str">
        <x:v>https://developers.cloudflare.com/durable-objects/platform/pricing/</x:v>
      </x:c>
      <x:c r="N107" s="1"/>
      <x:c r="O107" s="1"/>
      <x:c r="P107" s="1"/>
      <x:c r="Q107" s="1"/>
    </x:row>
    <x:row r="108" ht="21" customHeight="1">
      <x:c r="A108" s="1"/>
      <x:c r="B108" s="1"/>
      <x:c r="C108" s="1" t="str">
        <x:v>r2GbIncluded</x:v>
      </x:c>
      <x:c r="D108" s="1"/>
      <x:c r="E108" s="25" t="n">
        <x:v>10</x:v>
      </x:c>
      <x:c r="F108" s="1"/>
      <x:c r="G108" s="1"/>
      <x:c r="H108" s="1"/>
      <x:c r="I108" s="1"/>
      <x:c r="J108" s="1"/>
      <x:c r="K108" s="1"/>
      <x:c r="L108" s="1"/>
      <x:c r="M108" s="1" t="str">
        <x:v>https://developers.cloudflare.com/r2/pricing/</x:v>
      </x:c>
      <x:c r="N108" s="1"/>
      <x:c r="O108" s="1"/>
      <x:c r="P108" s="1"/>
      <x:c r="Q108" s="1"/>
    </x:row>
    <x:row r="109" ht="21" customHeight="1">
      <x:c r="A109" s="1"/>
      <x:c r="B109" s="1"/>
      <x:c r="C109" s="1" t="str">
        <x:v>r2GbPrice</x:v>
      </x:c>
      <x:c r="D109" s="1"/>
      <x:c r="E109" s="25" t="n">
        <x:v>0.015</x:v>
      </x:c>
      <x:c r="F109" s="1"/>
      <x:c r="G109" s="1"/>
      <x:c r="H109" s="1"/>
      <x:c r="I109" s="1"/>
      <x:c r="J109" s="1"/>
      <x:c r="K109" s="1"/>
      <x:c r="L109" s="1"/>
      <x:c r="M109" s="1" t="str">
        <x:v>https://developers.cloudflare.com/r2/pricing/</x:v>
      </x:c>
      <x:c r="N109" s="1"/>
      <x:c r="O109" s="1"/>
      <x:c r="P109" s="1"/>
      <x:c r="Q109" s="1"/>
    </x:row>
    <x:row r="110" ht="21" customHeight="1">
      <x:c r="A110" s="1"/>
      <x:c r="B110" s="1"/>
      <x:c r="C110" s="1" t="str">
        <x:v>r2AIncluded</x:v>
      </x:c>
      <x:c r="D110" s="1"/>
      <x:c r="E110" s="25" t="n">
        <x:v>1000000</x:v>
      </x:c>
      <x:c r="F110" s="1"/>
      <x:c r="G110" s="1"/>
      <x:c r="H110" s="1"/>
      <x:c r="I110" s="1"/>
      <x:c r="J110" s="1"/>
      <x:c r="K110" s="1"/>
      <x:c r="L110" s="1"/>
      <x:c r="M110" s="1" t="str">
        <x:v>https://developers.cloudflare.com/r2/pricing/</x:v>
      </x:c>
      <x:c r="N110" s="1"/>
      <x:c r="O110" s="1"/>
      <x:c r="P110" s="1"/>
      <x:c r="Q110" s="1"/>
    </x:row>
    <x:row r="111" ht="21" customHeight="1">
      <x:c r="A111" s="1"/>
      <x:c r="B111" s="1"/>
      <x:c r="C111" s="1" t="str">
        <x:v>r2APerMillion</x:v>
      </x:c>
      <x:c r="D111" s="1"/>
      <x:c r="E111" s="25" t="n">
        <x:v>4.5</x:v>
      </x:c>
      <x:c r="F111" s="1"/>
      <x:c r="G111" s="1"/>
      <x:c r="H111" s="1"/>
      <x:c r="I111" s="1"/>
      <x:c r="J111" s="1"/>
      <x:c r="K111" s="1"/>
      <x:c r="L111" s="1"/>
      <x:c r="M111" s="1" t="str">
        <x:v>https://developers.cloudflare.com/r2/pricing/</x:v>
      </x:c>
      <x:c r="N111" s="1"/>
      <x:c r="O111" s="1"/>
      <x:c r="P111" s="1"/>
      <x:c r="Q111" s="1"/>
    </x:row>
    <x:row r="112" ht="21" customHeight="1">
      <x:c r="A112" s="1"/>
      <x:c r="B112" s="1"/>
      <x:c r="C112" s="1" t="str">
        <x:v>r2BIncluded</x:v>
      </x:c>
      <x:c r="D112" s="1"/>
      <x:c r="E112" s="25" t="n">
        <x:v>10000000</x:v>
      </x:c>
      <x:c r="F112" s="1"/>
      <x:c r="G112" s="1"/>
      <x:c r="H112" s="1"/>
      <x:c r="I112" s="1"/>
      <x:c r="J112" s="1"/>
      <x:c r="K112" s="1"/>
      <x:c r="L112" s="1"/>
      <x:c r="M112" s="1" t="str">
        <x:v>https://developers.cloudflare.com/r2/pricing/</x:v>
      </x:c>
      <x:c r="N112" s="1"/>
      <x:c r="O112" s="1"/>
      <x:c r="P112" s="1"/>
      <x:c r="Q112" s="1"/>
    </x:row>
    <x:row r="113" ht="21" customHeight="1">
      <x:c r="A113" s="1"/>
      <x:c r="B113" s="1"/>
      <x:c r="C113" s="1" t="str">
        <x:v>r2BPerMillion</x:v>
      </x:c>
      <x:c r="D113" s="1"/>
      <x:c r="E113" s="25" t="n">
        <x:v>0.36</x:v>
      </x:c>
      <x:c r="F113" s="1"/>
      <x:c r="G113" s="1"/>
      <x:c r="H113" s="1"/>
      <x:c r="I113" s="1"/>
      <x:c r="J113" s="1"/>
      <x:c r="K113" s="1"/>
      <x:c r="L113" s="1"/>
      <x:c r="M113" s="1" t="str">
        <x:v>https://developers.cloudflare.com/r2/pricing/</x:v>
      </x:c>
      <x:c r="N113" s="1"/>
      <x:c r="O113" s="1"/>
      <x:c r="P113" s="1"/>
      <x:c r="Q113" s="1"/>
    </x:row>
    <x:row r="114" ht="21" customHeight="1">
      <x:c r="A114" s="1"/>
      <x:c r="B114" s="1"/>
      <x:c r="C114" s="1" t="str">
        <x:v>d1ReadsIncluded</x:v>
      </x:c>
      <x:c r="D114" s="1"/>
      <x:c r="E114" s="25" t="n">
        <x:v>25000000000</x:v>
      </x:c>
      <x:c r="F114" s="1"/>
      <x:c r="G114" s="1"/>
      <x:c r="H114" s="1"/>
      <x:c r="I114" s="1"/>
      <x:c r="J114" s="1"/>
      <x:c r="K114" s="1"/>
      <x:c r="L114" s="1"/>
      <x:c r="M114" s="1" t="str">
        <x:v>https://developers.cloudflare.com/d1/platform/pricing/</x:v>
      </x:c>
      <x:c r="N114" s="1"/>
      <x:c r="O114" s="1"/>
      <x:c r="P114" s="1"/>
      <x:c r="Q114" s="1"/>
    </x:row>
    <x:row r="115" ht="21" customHeight="1">
      <x:c r="A115" s="1"/>
      <x:c r="B115" s="1"/>
      <x:c r="C115" s="1" t="str">
        <x:v>d1ReadsPerMillion</x:v>
      </x:c>
      <x:c r="D115" s="1"/>
      <x:c r="E115" s="25" t="n">
        <x:v>0.001</x:v>
      </x:c>
      <x:c r="F115" s="1"/>
      <x:c r="G115" s="1"/>
      <x:c r="H115" s="1"/>
      <x:c r="I115" s="1"/>
      <x:c r="J115" s="1"/>
      <x:c r="K115" s="1"/>
      <x:c r="L115" s="1"/>
      <x:c r="M115" s="1" t="str">
        <x:v>https://developers.cloudflare.com/d1/platform/pricing/</x:v>
      </x:c>
      <x:c r="N115" s="1"/>
      <x:c r="O115" s="1"/>
      <x:c r="P115" s="1"/>
      <x:c r="Q115" s="1"/>
    </x:row>
    <x:row r="116" ht="21" customHeight="1">
      <x:c r="A116" s="1"/>
      <x:c r="B116" s="1"/>
      <x:c r="C116" s="1" t="str">
        <x:v>d1WritesIncluded</x:v>
      </x:c>
      <x:c r="D116" s="1"/>
      <x:c r="E116" s="25" t="n">
        <x:v>50000000</x:v>
      </x:c>
      <x:c r="F116" s="1"/>
      <x:c r="G116" s="1"/>
      <x:c r="H116" s="1"/>
      <x:c r="I116" s="1"/>
      <x:c r="J116" s="1"/>
      <x:c r="K116" s="1"/>
      <x:c r="L116" s="1"/>
      <x:c r="M116" s="1" t="str">
        <x:v>https://developers.cloudflare.com/d1/platform/pricing/</x:v>
      </x:c>
      <x:c r="N116" s="1"/>
      <x:c r="O116" s="1"/>
      <x:c r="P116" s="1"/>
      <x:c r="Q116" s="1"/>
    </x:row>
    <x:row r="117" ht="21" customHeight="1">
      <x:c r="A117" s="1"/>
      <x:c r="B117" s="1"/>
      <x:c r="C117" s="1" t="str">
        <x:v>d1WritesPerMillion</x:v>
      </x:c>
      <x:c r="D117" s="1"/>
      <x:c r="E117" s="25" t="n">
        <x:v>1</x:v>
      </x:c>
      <x:c r="F117" s="1"/>
      <x:c r="G117" s="1"/>
      <x:c r="H117" s="1"/>
      <x:c r="I117" s="1"/>
      <x:c r="J117" s="1"/>
      <x:c r="K117" s="1"/>
      <x:c r="L117" s="1"/>
      <x:c r="M117" s="1" t="str">
        <x:v>https://developers.cloudflare.com/d1/platform/pricing/</x:v>
      </x:c>
      <x:c r="N117" s="1"/>
      <x:c r="O117" s="1"/>
      <x:c r="P117" s="1"/>
      <x:c r="Q117" s="1"/>
    </x:row>
    <x:row r="118" ht="21" customHeight="1">
      <x:c r="A118" s="1"/>
      <x:c r="B118" s="1"/>
      <x:c r="C118" s="1" t="str">
        <x:v>d1GbIncluded</x:v>
      </x:c>
      <x:c r="D118" s="1"/>
      <x:c r="E118" s="25" t="n">
        <x:v>5</x:v>
      </x:c>
      <x:c r="F118" s="1"/>
      <x:c r="G118" s="1"/>
      <x:c r="H118" s="1"/>
      <x:c r="I118" s="1"/>
      <x:c r="J118" s="1"/>
      <x:c r="K118" s="1"/>
      <x:c r="L118" s="1"/>
      <x:c r="M118" s="1" t="str">
        <x:v>https://developers.cloudflare.com/d1/platform/pricing/</x:v>
      </x:c>
      <x:c r="N118" s="1"/>
      <x:c r="O118" s="1"/>
      <x:c r="P118" s="1"/>
      <x:c r="Q118" s="1"/>
    </x:row>
    <x:row r="119" ht="21" customHeight="1">
      <x:c r="A119" s="1"/>
      <x:c r="B119" s="1"/>
      <x:c r="C119" s="1" t="str">
        <x:v>d1GbPrice</x:v>
      </x:c>
      <x:c r="D119" s="1"/>
      <x:c r="E119" s="25" t="n">
        <x:v>0.75</x:v>
      </x:c>
      <x:c r="F119" s="1"/>
      <x:c r="G119" s="1"/>
      <x:c r="H119" s="1"/>
      <x:c r="I119" s="1"/>
      <x:c r="J119" s="1"/>
      <x:c r="K119" s="1"/>
      <x:c r="L119" s="1"/>
      <x:c r="M119" s="1" t="str">
        <x:v>https://developers.cloudflare.com/d1/platform/pricing/</x:v>
      </x:c>
      <x:c r="N119" s="1"/>
      <x:c r="O119" s="1"/>
      <x:c r="P119" s="1"/>
      <x:c r="Q119" s="1"/>
    </x:row>
    <x:row r="120" ht="21" customHeight="1">
      <x:c r="A120" s="1"/>
      <x:c r="B120" s="1"/>
      <x:c r="C120" s="1" t="str">
        <x:v>oldLogEventsIncluded</x:v>
      </x:c>
      <x:c r="D120" s="1"/>
      <x:c r="E120" s="25" t="n">
        <x:v>20000000</x:v>
      </x:c>
      <x:c r="F120" s="1"/>
      <x:c r="G120" s="1"/>
      <x:c r="H120" s="1"/>
      <x:c r="I120" s="1"/>
      <x:c r="J120" s="1"/>
      <x:c r="K120" s="1"/>
      <x:c r="L120" s="1"/>
      <x:c r="M120" s="1" t="str">
        <x:v>https://developers.cloudflare.com/workers/platform/pricing/</x:v>
      </x:c>
      <x:c r="N120" s="1"/>
      <x:c r="O120" s="1"/>
      <x:c r="P120" s="1"/>
      <x:c r="Q120" s="1"/>
    </x:row>
    <x:row r="121" ht="21" customHeight="1">
      <x:c r="A121" s="1"/>
      <x:c r="B121" s="1"/>
      <x:c r="C121" s="1" t="str">
        <x:v>oldLogsPerMillion</x:v>
      </x:c>
      <x:c r="D121" s="1"/>
      <x:c r="E121" s="25" t="n">
        <x:v>0.6</x:v>
      </x:c>
      <x:c r="F121" s="1"/>
      <x:c r="G121" s="1"/>
      <x:c r="H121" s="1"/>
      <x:c r="I121" s="1"/>
      <x:c r="J121" s="1"/>
      <x:c r="K121" s="1"/>
      <x:c r="L121" s="1"/>
      <x:c r="M121" s="1" t="str">
        <x:v>https://developers.cloudflare.com/workers/platform/pricing/</x:v>
      </x:c>
      <x:c r="N121" s="1"/>
      <x:c r="O121" s="1"/>
      <x:c r="P121" s="1"/>
      <x:c r="Q121" s="1"/>
    </x:row>
    <x:row r="122" ht="21" customHeight="1">
      <x:c r="A122" s="1"/>
      <x:c r="B122" s="1"/>
      <x:c r="C122" s="1" t="str">
        <x:v>logGbIncluded</x:v>
      </x:c>
      <x:c r="D122" s="1"/>
      <x:c r="E122" s="25" t="n">
        <x:v>50</x:v>
      </x:c>
      <x:c r="F122" s="1"/>
      <x:c r="G122" s="1"/>
      <x:c r="H122" s="1"/>
      <x:c r="I122" s="1"/>
      <x:c r="J122" s="1"/>
      <x:c r="K122" s="1"/>
      <x:c r="L122" s="1"/>
      <x:c r="M122" s="1" t="str">
        <x:v>https://developers.cloudflare.com/observability/pricing/</x:v>
      </x:c>
      <x:c r="N122" s="1"/>
      <x:c r="O122" s="1"/>
      <x:c r="P122" s="1"/>
      <x:c r="Q122" s="1"/>
    </x:row>
    <x:row r="123" ht="21" customHeight="1">
      <x:c r="A123" s="1"/>
      <x:c r="B123" s="1"/>
      <x:c r="C123" s="1" t="str">
        <x:v>logGbPrice</x:v>
      </x:c>
      <x:c r="D123" s="1"/>
      <x:c r="E123" s="25" t="n">
        <x:v>0.25</x:v>
      </x:c>
      <x:c r="F123" s="1"/>
      <x:c r="G123" s="1"/>
      <x:c r="H123" s="1"/>
      <x:c r="I123" s="1"/>
      <x:c r="J123" s="1"/>
      <x:c r="K123" s="1"/>
      <x:c r="L123" s="1"/>
      <x:c r="M123" s="1" t="str">
        <x:v>https://developers.cloudflare.com/observability/pricing/</x:v>
      </x:c>
      <x:c r="N123" s="1"/>
      <x:c r="O123" s="1"/>
      <x:c r="P123" s="1"/>
      <x:c r="Q123" s="1"/>
    </x:row>
    <x:row r="124" ht="21" customHeight="1">
      <x:c r="A124" s="1"/>
      <x:c r="B124" s="1"/>
      <x:c r="C124" s="1" t="str">
        <x:v>logStoredGbIncluded</x:v>
      </x:c>
      <x:c r="D124" s="1"/>
      <x:c r="E124" s="25" t="n">
        <x:v>12</x:v>
      </x:c>
      <x:c r="F124" s="1"/>
      <x:c r="G124" s="1"/>
      <x:c r="H124" s="1"/>
      <x:c r="I124" s="1"/>
      <x:c r="J124" s="1"/>
      <x:c r="K124" s="1"/>
      <x:c r="L124" s="1"/>
      <x:c r="M124" s="1" t="str">
        <x:v>https://developers.cloudflare.com/observability/pricing/</x:v>
      </x:c>
      <x:c r="N124" s="1"/>
      <x:c r="O124" s="1"/>
      <x:c r="P124" s="1"/>
      <x:c r="Q124" s="1"/>
    </x:row>
    <x:row r="125" ht="21" customHeight="1">
      <x:c r="A125" s="1"/>
      <x:c r="B125" s="1"/>
      <x:c r="C125" s="1" t="str">
        <x:v>logStoredGbPrice</x:v>
      </x:c>
      <x:c r="D125" s="1"/>
      <x:c r="E125" s="25" t="n">
        <x:v>0.1</x:v>
      </x:c>
      <x:c r="F125" s="1"/>
      <x:c r="G125" s="1"/>
      <x:c r="H125" s="1"/>
      <x:c r="I125" s="1"/>
      <x:c r="J125" s="1"/>
      <x:c r="K125" s="1"/>
      <x:c r="L125" s="1"/>
      <x:c r="M125" s="1" t="str">
        <x:v>https://developers.cloudflare.com/observability/pricing/</x:v>
      </x:c>
      <x:c r="N125" s="1"/>
      <x:c r="O125" s="1"/>
      <x:c r="P125" s="1"/>
      <x:c r="Q125" s="1"/>
    </x:row>
    <x:row r="126" ht="21" customHeight="1">
      <x:c r="A126" s="1"/>
      <x:c r="B126" s="1"/>
      <x:c r="C126" s="1" t="str">
        <x:v>containerCpuHoursIncluded</x:v>
      </x:c>
      <x:c r="D126" s="1"/>
      <x:c r="E126" s="25" t="n">
        <x:v>6.25</x:v>
      </x:c>
      <x:c r="F126" s="1"/>
      <x:c r="G126" s="1"/>
      <x:c r="H126" s="1"/>
      <x:c r="I126" s="1"/>
      <x:c r="J126" s="1"/>
      <x:c r="K126" s="1"/>
      <x:c r="L126" s="1"/>
      <x:c r="M126" s="1" t="str">
        <x:v>https://developers.cloudflare.com/containers/platform/pricing/</x:v>
      </x:c>
      <x:c r="N126" s="1"/>
      <x:c r="O126" s="1"/>
      <x:c r="P126" s="1"/>
      <x:c r="Q126" s="1"/>
    </x:row>
    <x:row r="127" ht="21" customHeight="1">
      <x:c r="A127" s="1"/>
      <x:c r="B127" s="1"/>
      <x:c r="C127" s="1" t="str">
        <x:v>containerCpuHour</x:v>
      </x:c>
      <x:c r="D127" s="1"/>
      <x:c r="E127" s="25" t="n">
        <x:v>0.072</x:v>
      </x:c>
      <x:c r="F127" s="1"/>
      <x:c r="G127" s="1"/>
      <x:c r="H127" s="1"/>
      <x:c r="I127" s="1"/>
      <x:c r="J127" s="1"/>
      <x:c r="K127" s="1"/>
      <x:c r="L127" s="1"/>
      <x:c r="M127" s="1" t="str">
        <x:v>https://developers.cloudflare.com/containers/platform/pricing/</x:v>
      </x:c>
      <x:c r="N127" s="1"/>
      <x:c r="O127" s="1"/>
      <x:c r="P127" s="1"/>
      <x:c r="Q127" s="1"/>
    </x:row>
    <x:row r="128" ht="21" customHeight="1">
      <x:c r="A128" s="1"/>
      <x:c r="B128" s="1"/>
      <x:c r="C128" s="1" t="str">
        <x:v>containerMemoryHoursIncluded</x:v>
      </x:c>
      <x:c r="D128" s="1"/>
      <x:c r="E128" s="25" t="n">
        <x:v>25</x:v>
      </x:c>
      <x:c r="F128" s="1"/>
      <x:c r="G128" s="1"/>
      <x:c r="H128" s="1"/>
      <x:c r="I128" s="1"/>
      <x:c r="J128" s="1"/>
      <x:c r="K128" s="1"/>
      <x:c r="L128" s="1"/>
      <x:c r="M128" s="1" t="str">
        <x:v>https://developers.cloudflare.com/containers/platform/pricing/</x:v>
      </x:c>
      <x:c r="N128" s="1"/>
      <x:c r="O128" s="1"/>
      <x:c r="P128" s="1"/>
      <x:c r="Q128" s="1"/>
    </x:row>
    <x:row r="129" ht="21" customHeight="1">
      <x:c r="A129" s="1"/>
      <x:c r="B129" s="1"/>
      <x:c r="C129" s="1" t="str">
        <x:v>containerMemoryHour</x:v>
      </x:c>
      <x:c r="D129" s="1"/>
      <x:c r="E129" s="25" t="n">
        <x:v>0.009</x:v>
      </x:c>
      <x:c r="F129" s="1"/>
      <x:c r="G129" s="1"/>
      <x:c r="H129" s="1"/>
      <x:c r="I129" s="1"/>
      <x:c r="J129" s="1"/>
      <x:c r="K129" s="1"/>
      <x:c r="L129" s="1"/>
      <x:c r="M129" s="1" t="str">
        <x:v>https://developers.cloudflare.com/containers/platform/pricing/</x:v>
      </x:c>
      <x:c r="N129" s="1"/>
      <x:c r="O129" s="1"/>
      <x:c r="P129" s="1"/>
      <x:c r="Q129" s="1"/>
    </x:row>
    <x:row r="130" ht="21" customHeight="1">
      <x:c r="A130" s="1"/>
      <x:c r="B130" s="1"/>
      <x:c r="C130" s="1" t="str">
        <x:v>containerDiskHoursIncluded</x:v>
      </x:c>
      <x:c r="D130" s="1"/>
      <x:c r="E130" s="25" t="n">
        <x:v>200</x:v>
      </x:c>
      <x:c r="F130" s="1"/>
      <x:c r="G130" s="1"/>
      <x:c r="H130" s="1"/>
      <x:c r="I130" s="1"/>
      <x:c r="J130" s="1"/>
      <x:c r="K130" s="1"/>
      <x:c r="L130" s="1"/>
      <x:c r="M130" s="1" t="str">
        <x:v>https://developers.cloudflare.com/containers/platform/pricing/</x:v>
      </x:c>
      <x:c r="N130" s="1"/>
      <x:c r="O130" s="1"/>
      <x:c r="P130" s="1"/>
      <x:c r="Q130" s="1"/>
    </x:row>
    <x:row r="131" ht="21" customHeight="1">
      <x:c r="A131" s="1"/>
      <x:c r="B131" s="1"/>
      <x:c r="C131" s="1" t="str">
        <x:v>containerDiskHour</x:v>
      </x:c>
      <x:c r="D131" s="1"/>
      <x:c r="E131" s="25" t="n">
        <x:v>0.000252</x:v>
      </x:c>
      <x:c r="F131" s="1"/>
      <x:c r="G131" s="1"/>
      <x:c r="H131" s="1"/>
      <x:c r="I131" s="1"/>
      <x:c r="J131" s="1"/>
      <x:c r="K131" s="1"/>
      <x:c r="L131" s="1"/>
      <x:c r="M131" s="1" t="str">
        <x:v>https://developers.cloudflare.com/containers/platform/pricing/</x:v>
      </x:c>
      <x:c r="N131" s="1"/>
      <x:c r="O131" s="1"/>
      <x:c r="P131" s="1"/>
      <x:c r="Q131" s="1"/>
    </x:row>
    <x:row r="132" ht="21" customHeight="1">
      <x:c r="A132" s="1"/>
      <x:c r="B132" s="1"/>
      <x:c r="C132" s="1" t="str">
        <x:v>containerEgressGbIncluded</x:v>
      </x:c>
      <x:c r="D132" s="1"/>
      <x:c r="E132" s="25" t="n">
        <x:v>1000</x:v>
      </x:c>
      <x:c r="F132" s="1"/>
      <x:c r="G132" s="1"/>
      <x:c r="H132" s="1"/>
      <x:c r="I132" s="1"/>
      <x:c r="J132" s="1"/>
      <x:c r="K132" s="1"/>
      <x:c r="L132" s="1"/>
      <x:c r="M132" s="1" t="str">
        <x:v>https://developers.cloudflare.com/containers/platform/pricing/</x:v>
      </x:c>
      <x:c r="N132" s="1"/>
      <x:c r="O132" s="1"/>
      <x:c r="P132" s="1"/>
      <x:c r="Q132" s="1"/>
    </x:row>
    <x:row r="133" ht="21" customHeight="1">
      <x:c r="A133" s="1"/>
      <x:c r="B133" s="1"/>
      <x:c r="C133" s="1" t="str">
        <x:v>containerEgressGbPrice</x:v>
      </x:c>
      <x:c r="D133" s="1"/>
      <x:c r="E133" s="25" t="n">
        <x:v>0.025</x:v>
      </x:c>
      <x:c r="F133" s="1"/>
      <x:c r="G133" s="1"/>
      <x:c r="H133" s="1"/>
      <x:c r="I133" s="1"/>
      <x:c r="J133" s="1"/>
      <x:c r="K133" s="1"/>
      <x:c r="L133" s="1"/>
      <x:c r="M133" s="1" t="str">
        <x:v>https://developers.cloudflare.com/containers/platform/pricing/</x:v>
      </x:c>
      <x:c r="N133" s="1"/>
      <x:c r="O133" s="1"/>
      <x:c r="P133" s="1"/>
      <x:c r="Q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1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1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1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1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1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</x:sheetData>
  <x:dataValidations count="3">
    <x:dataValidation type="whole" operator="between" sqref="E4">
      <x:formula1>1</x:formula1>
      <x:formula2>4</x:formula2>
    </x:dataValidation>
    <x:dataValidation type="whole" operator="greaterThanOrEqual" sqref="F7:Q7">
      <x:formula1>0</x:formula1>
    </x:dataValidation>
    <x:dataValidation type="whole" operator="between" sqref="E68">
      <x:formula1>0</x:formula1>
      <x:formula2>12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6" hidden="0" customWidth="1"/>
    <x:col min="5" max="5" width="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"/>
      <x:c r="B2" s="1"/>
      <x:c r="C2" s="2" t="str">
        <x:v>Monthly service forecast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1" customHeight="1">
      <x:c r="A4" s="1"/>
      <x:c r="B4" s="1"/>
      <x:c r="C4" s="1" t="str">
        <x:v>Case selected:</x:v>
      </x:c>
      <x:c r="D4" s="1"/>
      <x:c r="E4" s="1"/>
      <x:c r="F4" s="5" t="str">
        <x:f>'Assumptions'!F4</x:f>
        <x:v>Initial polling increment</x:v>
      </x:c>
      <x:c r="G4" s="6"/>
      <x:c r="H4" s="6"/>
      <x:c r="I4" s="7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1"/>
      <x:c r="B6" s="1"/>
      <x:c r="C6" s="1"/>
      <x:c r="D6" s="1" t="str">
        <x:v>Total / stock</x:v>
      </x:c>
      <x:c r="E6" s="1"/>
      <x:c r="F6" s="14" t="n">
        <x:f>'Assumptions'!F6</x:f>
        <x:v>46299</x:v>
      </x:c>
      <x:c r="G6" s="14" t="n">
        <x:f>'Assumptions'!G6</x:f>
        <x:v>46327</x:v>
      </x:c>
      <x:c r="H6" s="14" t="n">
        <x:f>'Assumptions'!H6</x:f>
        <x:v>46357</x:v>
      </x:c>
      <x:c r="I6" s="14" t="n">
        <x:f>'Assumptions'!I6</x:f>
        <x:v>46388</x:v>
      </x:c>
      <x:c r="J6" s="14" t="n">
        <x:f>'Assumptions'!J6</x:f>
        <x:v>46419</x:v>
      </x:c>
      <x:c r="K6" s="14" t="n">
        <x:f>'Assumptions'!K6</x:f>
        <x:v>46447</x:v>
      </x:c>
      <x:c r="L6" s="14" t="n">
        <x:f>'Assumptions'!L6</x:f>
        <x:v>46478</x:v>
      </x:c>
      <x:c r="M6" s="14" t="n">
        <x:f>'Assumptions'!M6</x:f>
        <x:v>46508</x:v>
      </x:c>
      <x:c r="N6" s="14" t="n">
        <x:f>'Assumptions'!N6</x:f>
        <x:v>46539</x:v>
      </x:c>
      <x:c r="O6" s="14" t="n">
        <x:f>'Assumptions'!O6</x:f>
        <x:v>46569</x:v>
      </x:c>
      <x:c r="P6" s="14" t="n">
        <x:f>'Assumptions'!P6</x:f>
        <x:v>46600</x:v>
      </x:c>
      <x:c r="Q6" s="14" t="n">
        <x:f>'Assumptions'!Q6</x:f>
        <x:v>46631</x:v>
      </x:c>
    </x:row>
    <x:row r="7" ht="21" customHeight="1">
      <x:c r="A7" s="1"/>
      <x:c r="B7" s="1"/>
      <x:c r="C7" s="1" t="str">
        <x:v>Daily active users (DAU)</x:v>
      </x:c>
      <x:c r="D7" s="18" t="n">
        <x:f>Q7</x:f>
        <x:v>1000</x:v>
      </x:c>
      <x:c r="E7" s="18"/>
      <x:c r="F7" s="18" t="n">
        <x:f>'Assumptions'!F7</x:f>
        <x:v>100</x:v>
      </x:c>
      <x:c r="G7" s="18" t="n">
        <x:f>'Assumptions'!G7</x:f>
        <x:v>150</x:v>
      </x:c>
      <x:c r="H7" s="18" t="n">
        <x:f>'Assumptions'!H7</x:f>
        <x:v>220</x:v>
      </x:c>
      <x:c r="I7" s="18" t="n">
        <x:f>'Assumptions'!I7</x:f>
        <x:v>300</x:v>
      </x:c>
      <x:c r="J7" s="18" t="n">
        <x:f>'Assumptions'!J7</x:f>
        <x:v>400</x:v>
      </x:c>
      <x:c r="K7" s="18" t="n">
        <x:f>'Assumptions'!K7</x:f>
        <x:v>500</x:v>
      </x:c>
      <x:c r="L7" s="18" t="n">
        <x:f>'Assumptions'!L7</x:f>
        <x:v>600</x:v>
      </x:c>
      <x:c r="M7" s="18" t="n">
        <x:f>'Assumptions'!M7</x:f>
        <x:v>700</x:v>
      </x:c>
      <x:c r="N7" s="18" t="n">
        <x:f>'Assumptions'!N7</x:f>
        <x:v>800</x:v>
      </x:c>
      <x:c r="O7" s="18" t="n">
        <x:f>'Assumptions'!O7</x:f>
        <x:v>900</x:v>
      </x:c>
      <x:c r="P7" s="18" t="n">
        <x:f>'Assumptions'!P7</x:f>
        <x:v>1000</x:v>
      </x:c>
      <x:c r="Q7" s="18" t="n">
        <x:f>'Assumptions'!Q7</x:f>
        <x:v>1000</x:v>
      </x:c>
    </x:row>
    <x:row r="8" ht="21" customHeight="1">
      <x:c r="A8" s="1"/>
      <x:c r="B8" s="1"/>
      <x:c r="C8" s="1" t="str">
        <x:v>Monthly active users (MAU)</x:v>
      </x:c>
      <x:c r="D8" s="18" t="n">
        <x:f>Q8</x:f>
        <x:v>4000</x:v>
      </x:c>
      <x:c r="E8" s="18"/>
      <x:c r="F8" s="18" t="n">
        <x:f>F7/'Assumptions'!$E$30</x:f>
        <x:v>400</x:v>
      </x:c>
      <x:c r="G8" s="18" t="n">
        <x:f>G7/'Assumptions'!$E$30</x:f>
        <x:v>600</x:v>
      </x:c>
      <x:c r="H8" s="18" t="n">
        <x:f>H7/'Assumptions'!$E$30</x:f>
        <x:v>880</x:v>
      </x:c>
      <x:c r="I8" s="18" t="n">
        <x:f>I7/'Assumptions'!$E$30</x:f>
        <x:v>1200</x:v>
      </x:c>
      <x:c r="J8" s="18" t="n">
        <x:f>J7/'Assumptions'!$E$30</x:f>
        <x:v>1600</x:v>
      </x:c>
      <x:c r="K8" s="18" t="n">
        <x:f>K7/'Assumptions'!$E$30</x:f>
        <x:v>2000</x:v>
      </x:c>
      <x:c r="L8" s="18" t="n">
        <x:f>L7/'Assumptions'!$E$30</x:f>
        <x:v>2400</x:v>
      </x:c>
      <x:c r="M8" s="18" t="n">
        <x:f>M7/'Assumptions'!$E$30</x:f>
        <x:v>2800</x:v>
      </x:c>
      <x:c r="N8" s="18" t="n">
        <x:f>N7/'Assumptions'!$E$30</x:f>
        <x:v>3200</x:v>
      </x:c>
      <x:c r="O8" s="18" t="n">
        <x:f>O7/'Assumptions'!$E$30</x:f>
        <x:v>3600</x:v>
      </x:c>
      <x:c r="P8" s="18" t="n">
        <x:f>P7/'Assumptions'!$E$30</x:f>
        <x:v>4000</x:v>
      </x:c>
      <x:c r="Q8" s="18" t="n">
        <x:f>Q7/'Assumptions'!$E$30</x:f>
        <x:v>4000</x:v>
      </x:c>
    </x:row>
    <x:row r="9" ht="21" customHeight="1">
      <x:c r="A9" s="1"/>
      <x:c r="B9" s="1"/>
      <x:c r="C9" s="1" t="str">
        <x:v>Forecast days in period</x:v>
      </x:c>
      <x:c r="D9" s="18" t="n">
        <x:f>SUM(F9:Q9)</x:f>
        <x:v>362</x:v>
      </x:c>
      <x:c r="E9" s="18"/>
      <x:c r="F9" s="18" t="n">
        <x:f>DAY(EOMONTH(F$6,0))-DAY(F$6)+1</x:f>
        <x:v>28</x:v>
      </x:c>
      <x:c r="G9" s="18" t="n">
        <x:f>DAY(EOMONTH(G$6,0))-DAY(G$6)+1</x:f>
        <x:v>30</x:v>
      </x:c>
      <x:c r="H9" s="18" t="n">
        <x:f>DAY(EOMONTH(H$6,0))-DAY(H$6)+1</x:f>
        <x:v>31</x:v>
      </x:c>
      <x:c r="I9" s="18" t="n">
        <x:f>DAY(EOMONTH(I$6,0))-DAY(I$6)+1</x:f>
        <x:v>31</x:v>
      </x:c>
      <x:c r="J9" s="18" t="n">
        <x:f>DAY(EOMONTH(J$6,0))-DAY(J$6)+1</x:f>
        <x:v>28</x:v>
      </x:c>
      <x:c r="K9" s="18" t="n">
        <x:f>DAY(EOMONTH(K$6,0))-DAY(K$6)+1</x:f>
        <x:v>31</x:v>
      </x:c>
      <x:c r="L9" s="18" t="n">
        <x:f>DAY(EOMONTH(L$6,0))-DAY(L$6)+1</x:f>
        <x:v>30</x:v>
      </x:c>
      <x:c r="M9" s="18" t="n">
        <x:f>DAY(EOMONTH(M$6,0))-DAY(M$6)+1</x:f>
        <x:v>31</x:v>
      </x:c>
      <x:c r="N9" s="18" t="n">
        <x:f>DAY(EOMONTH(N$6,0))-DAY(N$6)+1</x:f>
        <x:v>30</x:v>
      </x:c>
      <x:c r="O9" s="18" t="n">
        <x:f>DAY(EOMONTH(O$6,0))-DAY(O$6)+1</x:f>
        <x:v>31</x:v>
      </x:c>
      <x:c r="P9" s="18" t="n">
        <x:f>DAY(EOMONTH(P$6,0))-DAY(P$6)+1</x:f>
        <x:v>31</x:v>
      </x:c>
      <x:c r="Q9" s="18" t="n">
        <x:f>DAY(EOMONTH(Q$6,0))-DAY(Q$6)+1</x:f>
        <x:v>30</x:v>
      </x:c>
    </x:row>
    <x:row r="10" ht="21" customHeight="1">
      <x:c r="A10" s="1"/>
      <x:c r="B10" s="1"/>
      <x:c r="C10" s="1" t="str">
        <x:v>Retained registered accounts</x:v>
      </x:c>
      <x:c r="D10" s="18" t="n">
        <x:f>Q10</x:f>
        <x:v>20000</x:v>
      </x:c>
      <x:c r="E10" s="18"/>
      <x:c r="F10" s="18" t="n">
        <x:f>MAX(0,F8*'Assumptions'!$E$32)</x:f>
        <x:v>2000</x:v>
      </x:c>
      <x:c r="G10" s="18" t="n">
        <x:f>MAX(F10,G8*'Assumptions'!$E$32)</x:f>
        <x:v>3000</x:v>
      </x:c>
      <x:c r="H10" s="18" t="n">
        <x:f>MAX(G10,H8*'Assumptions'!$E$32)</x:f>
        <x:v>4400</x:v>
      </x:c>
      <x:c r="I10" s="18" t="n">
        <x:f>MAX(H10,I8*'Assumptions'!$E$32)</x:f>
        <x:v>6000</x:v>
      </x:c>
      <x:c r="J10" s="18" t="n">
        <x:f>MAX(I10,J8*'Assumptions'!$E$32)</x:f>
        <x:v>8000</x:v>
      </x:c>
      <x:c r="K10" s="18" t="n">
        <x:f>MAX(J10,K8*'Assumptions'!$E$32)</x:f>
        <x:v>10000</x:v>
      </x:c>
      <x:c r="L10" s="18" t="n">
        <x:f>MAX(K10,L8*'Assumptions'!$E$32)</x:f>
        <x:v>12000</x:v>
      </x:c>
      <x:c r="M10" s="18" t="n">
        <x:f>MAX(L10,M8*'Assumptions'!$E$32)</x:f>
        <x:v>14000</x:v>
      </x:c>
      <x:c r="N10" s="18" t="n">
        <x:f>MAX(M10,N8*'Assumptions'!$E$32)</x:f>
        <x:v>16000</x:v>
      </x:c>
      <x:c r="O10" s="18" t="n">
        <x:f>MAX(N10,O8*'Assumptions'!$E$32)</x:f>
        <x:v>18000</x:v>
      </x:c>
      <x:c r="P10" s="18" t="n">
        <x:f>MAX(O10,P8*'Assumptions'!$E$32)</x:f>
        <x:v>20000</x:v>
      </x:c>
      <x:c r="Q10" s="18" t="n">
        <x:f>MAX(P10,Q8*'Assumptions'!$E$32)</x:f>
        <x:v>20000</x:v>
      </x:c>
    </x:row>
    <x:row r="11" ht="21" customHeight="1">
      <x:c r="A11" s="1"/>
      <x:c r="B11" s="1"/>
      <x:c r="C11" s="1" t="str">
        <x:v>Heavy request-equivalent accounts</x:v>
      </x:c>
      <x:c r="D11" s="18" t="n">
        <x:f>SUM(F11:Q11)</x:f>
        <x:v>1362.7288888888888</x:v>
      </x:c>
      <x:c r="E11" s="18"/>
      <x:c r="F11" s="18" t="n">
        <x:f>F7*'Assumptions'!$H$24*F9/30</x:f>
        <x:v>18.82222222222222</x:v>
      </x:c>
      <x:c r="G11" s="18" t="n">
        <x:f>G7*'Assumptions'!$H$24*G9/30</x:f>
        <x:v>30.25</x:v>
      </x:c>
      <x:c r="H11" s="18" t="n">
        <x:f>H7*'Assumptions'!$H$24*H9/30</x:f>
        <x:v>45.845555555555556</x:v>
      </x:c>
      <x:c r="I11" s="18" t="n">
        <x:f>I7*'Assumptions'!$H$24*I9/30</x:f>
        <x:v>62.516666666666666</x:v>
      </x:c>
      <x:c r="J11" s="18" t="n">
        <x:f>J7*'Assumptions'!$H$24*J9/30</x:f>
        <x:v>75.28888888888888</x:v>
      </x:c>
      <x:c r="K11" s="18" t="n">
        <x:f>K7*'Assumptions'!$H$24*K9/30</x:f>
        <x:v>104.19444444444443</x:v>
      </x:c>
      <x:c r="L11" s="18" t="n">
        <x:f>L7*'Assumptions'!$H$24*L9/30</x:f>
        <x:v>121</x:v>
      </x:c>
      <x:c r="M11" s="18" t="n">
        <x:f>M7*'Assumptions'!$H$24*M9/30</x:f>
        <x:v>145.8722222222222</x:v>
      </x:c>
      <x:c r="N11" s="18" t="n">
        <x:f>N7*'Assumptions'!$H$24*N9/30</x:f>
        <x:v>161.33333333333331</x:v>
      </x:c>
      <x:c r="O11" s="18" t="n">
        <x:f>O7*'Assumptions'!$H$24*O9/30</x:f>
        <x:v>187.55</x:v>
      </x:c>
      <x:c r="P11" s="18" t="n">
        <x:f>P7*'Assumptions'!$H$24*P9/30</x:f>
        <x:v>208.38888888888886</x:v>
      </x:c>
      <x:c r="Q11" s="18" t="n">
        <x:f>Q7*'Assumptions'!$H$24*Q9/30</x:f>
        <x:v>201.66666666666666</x:v>
      </x:c>
    </x:row>
    <x:row r="12" ht="21" customHeight="1">
      <x:c r="A12" s="1"/>
      <x:c r="B12" s="1"/>
      <x:c r="C12" s="1" t="str">
        <x:v>Execution buyers</x:v>
      </x:c>
      <x:c r="D12" s="18" t="n">
        <x:f>Q12</x:f>
        <x:v>0</x:v>
      </x:c>
      <x:c r="E12" s="18"/>
      <x:c r="F12" s="18" t="n">
        <x:f>IF(AND('Assumptions'!$E$68&gt;0,1&gt;='Assumptions'!$E$68),F8*'Assumptions'!$E$69,0)</x:f>
        <x:v>0</x:v>
      </x:c>
      <x:c r="G12" s="18" t="n">
        <x:f>IF(AND('Assumptions'!$E$68&gt;0,2&gt;='Assumptions'!$E$68),G8*'Assumptions'!$E$69,0)</x:f>
        <x:v>0</x:v>
      </x:c>
      <x:c r="H12" s="18" t="n">
        <x:f>IF(AND('Assumptions'!$E$68&gt;0,3&gt;='Assumptions'!$E$68),H8*'Assumptions'!$E$69,0)</x:f>
        <x:v>0</x:v>
      </x:c>
      <x:c r="I12" s="18" t="n">
        <x:f>IF(AND('Assumptions'!$E$68&gt;0,4&gt;='Assumptions'!$E$68),I8*'Assumptions'!$E$69,0)</x:f>
        <x:v>0</x:v>
      </x:c>
      <x:c r="J12" s="18" t="n">
        <x:f>IF(AND('Assumptions'!$E$68&gt;0,5&gt;='Assumptions'!$E$68),J8*'Assumptions'!$E$69,0)</x:f>
        <x:v>0</x:v>
      </x:c>
      <x:c r="K12" s="18" t="n">
        <x:f>IF(AND('Assumptions'!$E$68&gt;0,6&gt;='Assumptions'!$E$68),K8*'Assumptions'!$E$69,0)</x:f>
        <x:v>0</x:v>
      </x:c>
      <x:c r="L12" s="18" t="n">
        <x:f>IF(AND('Assumptions'!$E$68&gt;0,7&gt;='Assumptions'!$E$68),L8*'Assumptions'!$E$69,0)</x:f>
        <x:v>0</x:v>
      </x:c>
      <x:c r="M12" s="18" t="n">
        <x:f>IF(AND('Assumptions'!$E$68&gt;0,8&gt;='Assumptions'!$E$68),M8*'Assumptions'!$E$69,0)</x:f>
        <x:v>0</x:v>
      </x:c>
      <x:c r="N12" s="18" t="n">
        <x:f>IF(AND('Assumptions'!$E$68&gt;0,9&gt;='Assumptions'!$E$68),N8*'Assumptions'!$E$69,0)</x:f>
        <x:v>0</x:v>
      </x:c>
      <x:c r="O12" s="18" t="n">
        <x:f>IF(AND('Assumptions'!$E$68&gt;0,10&gt;='Assumptions'!$E$68),O8*'Assumptions'!$E$69,0)</x:f>
        <x:v>0</x:v>
      </x:c>
      <x:c r="P12" s="18" t="n">
        <x:f>IF(AND('Assumptions'!$E$68&gt;0,11&gt;='Assumptions'!$E$68),P8*'Assumptions'!$E$69,0)</x:f>
        <x:v>0</x:v>
      </x:c>
      <x:c r="Q12" s="18" t="n">
        <x:f>IF(AND('Assumptions'!$E$68&gt;0,12&gt;='Assumptions'!$E$68),Q8*'Assumptions'!$E$69,0)</x:f>
        <x:v>0</x:v>
      </x:c>
    </x:row>
    <x:row r="13" ht="21" customHeight="1">
      <x:c r="A13" s="1"/>
      <x:c r="B13" s="1"/>
      <x:c r="C13" s="1" t="str">
        <x:v>Billed execution hours</x:v>
      </x:c>
      <x:c r="D13" s="18" t="n">
        <x:f>SUM(F13:Q13)</x:f>
        <x:v>0</x:v>
      </x:c>
      <x:c r="E13" s="18"/>
      <x:c r="F13" s="18" t="n">
        <x:f>F12*'Assumptions'!$E$70</x:f>
        <x:v>0</x:v>
      </x:c>
      <x:c r="G13" s="18" t="n">
        <x:f>G12*'Assumptions'!$E$70</x:f>
        <x:v>0</x:v>
      </x:c>
      <x:c r="H13" s="18" t="n">
        <x:f>H12*'Assumptions'!$E$70</x:f>
        <x:v>0</x:v>
      </x:c>
      <x:c r="I13" s="18" t="n">
        <x:f>I12*'Assumptions'!$E$70</x:f>
        <x:v>0</x:v>
      </x:c>
      <x:c r="J13" s="18" t="n">
        <x:f>J12*'Assumptions'!$E$70</x:f>
        <x:v>0</x:v>
      </x:c>
      <x:c r="K13" s="18" t="n">
        <x:f>K12*'Assumptions'!$E$70</x:f>
        <x:v>0</x:v>
      </x:c>
      <x:c r="L13" s="18" t="n">
        <x:f>L12*'Assumptions'!$E$70</x:f>
        <x:v>0</x:v>
      </x:c>
      <x:c r="M13" s="18" t="n">
        <x:f>M12*'Assumptions'!$E$70</x:f>
        <x:v>0</x:v>
      </x:c>
      <x:c r="N13" s="18" t="n">
        <x:f>N12*'Assumptions'!$E$70</x:f>
        <x:v>0</x:v>
      </x:c>
      <x:c r="O13" s="18" t="n">
        <x:f>O12*'Assumptions'!$E$70</x:f>
        <x:v>0</x:v>
      </x:c>
      <x:c r="P13" s="18" t="n">
        <x:f>P12*'Assumptions'!$E$70</x:f>
        <x:v>0</x:v>
      </x:c>
      <x:c r="Q13" s="18" t="n">
        <x:f>Q12*'Assumptions'!$E$70</x:f>
        <x:v>0</x:v>
      </x:c>
    </x:row>
    <x:row r="14" ht="21" customHeight="1">
      <x:c r="A14" s="1"/>
      <x:c r="B14" s="1"/>
      <x:c r="C14" s="1" t="str">
        <x:v>Running execution hours</x:v>
      </x:c>
      <x:c r="D14" s="18" t="n">
        <x:f>SUM(F14:Q14)</x:f>
        <x:v>0</x:v>
      </x:c>
      <x:c r="E14" s="18"/>
      <x:c r="F14" s="18" t="n">
        <x:f>F13*(1+'Assumptions'!$E$76)</x:f>
        <x:v>0</x:v>
      </x:c>
      <x:c r="G14" s="18" t="n">
        <x:f>G13*(1+'Assumptions'!$E$76)</x:f>
        <x:v>0</x:v>
      </x:c>
      <x:c r="H14" s="18" t="n">
        <x:f>H13*(1+'Assumptions'!$E$76)</x:f>
        <x:v>0</x:v>
      </x:c>
      <x:c r="I14" s="18" t="n">
        <x:f>I13*(1+'Assumptions'!$E$76)</x:f>
        <x:v>0</x:v>
      </x:c>
      <x:c r="J14" s="18" t="n">
        <x:f>J13*(1+'Assumptions'!$E$76)</x:f>
        <x:v>0</x:v>
      </x:c>
      <x:c r="K14" s="18" t="n">
        <x:f>K13*(1+'Assumptions'!$E$76)</x:f>
        <x:v>0</x:v>
      </x:c>
      <x:c r="L14" s="18" t="n">
        <x:f>L13*(1+'Assumptions'!$E$76)</x:f>
        <x:v>0</x:v>
      </x:c>
      <x:c r="M14" s="18" t="n">
        <x:f>M13*(1+'Assumptions'!$E$76)</x:f>
        <x:v>0</x:v>
      </x:c>
      <x:c r="N14" s="18" t="n">
        <x:f>N13*(1+'Assumptions'!$E$76)</x:f>
        <x:v>0</x:v>
      </x:c>
      <x:c r="O14" s="18" t="n">
        <x:f>O13*(1+'Assumptions'!$E$76)</x:f>
        <x:v>0</x:v>
      </x:c>
      <x:c r="P14" s="18" t="n">
        <x:f>P13*(1+'Assumptions'!$E$76)</x:f>
        <x:v>0</x:v>
      </x:c>
      <x:c r="Q14" s="18" t="n">
        <x:f>Q13*(1+'Assumptions'!$E$76)</x:f>
        <x:v>0</x:v>
      </x:c>
    </x:row>
    <x:row r="15" ht="21" customHeight="1">
      <x:c r="A15" s="1"/>
      <x:c r="B15" s="1"/>
      <x:c r="C15" s="1" t="str">
        <x:v>Estimated peak containers</x:v>
      </x:c>
      <x:c r="D15" s="18" t="n">
        <x:f>MAX(F15:Q15)</x:f>
        <x:v>0</x:v>
      </x:c>
      <x:c r="E15" s="18"/>
      <x:c r="F15" s="18" t="n">
        <x:f>F14/F9/24*'Assumptions'!$E$89</x:f>
        <x:v>0</x:v>
      </x:c>
      <x:c r="G15" s="18" t="n">
        <x:f>G14/G9/24*'Assumptions'!$E$89</x:f>
        <x:v>0</x:v>
      </x:c>
      <x:c r="H15" s="18" t="n">
        <x:f>H14/H9/24*'Assumptions'!$E$89</x:f>
        <x:v>0</x:v>
      </x:c>
      <x:c r="I15" s="18" t="n">
        <x:f>I14/I9/24*'Assumptions'!$E$89</x:f>
        <x:v>0</x:v>
      </x:c>
      <x:c r="J15" s="18" t="n">
        <x:f>J14/J9/24*'Assumptions'!$E$89</x:f>
        <x:v>0</x:v>
      </x:c>
      <x:c r="K15" s="18" t="n">
        <x:f>K14/K9/24*'Assumptions'!$E$89</x:f>
        <x:v>0</x:v>
      </x:c>
      <x:c r="L15" s="18" t="n">
        <x:f>L14/L9/24*'Assumptions'!$E$89</x:f>
        <x:v>0</x:v>
      </x:c>
      <x:c r="M15" s="18" t="n">
        <x:f>M14/M9/24*'Assumptions'!$E$89</x:f>
        <x:v>0</x:v>
      </x:c>
      <x:c r="N15" s="18" t="n">
        <x:f>N14/N9/24*'Assumptions'!$E$89</x:f>
        <x:v>0</x:v>
      </x:c>
      <x:c r="O15" s="18" t="n">
        <x:f>O14/O9/24*'Assumptions'!$E$89</x:f>
        <x:v>0</x:v>
      </x:c>
      <x:c r="P15" s="18" t="n">
        <x:f>P14/P9/24*'Assumptions'!$E$89</x:f>
        <x:v>0</x:v>
      </x:c>
      <x:c r="Q15" s="18" t="n">
        <x:f>Q14/Q9/24*'Assumptions'!$E$89</x:f>
        <x:v>0</x:v>
      </x:c>
    </x:row>
    <x:row r="16" ht="24" customHeight="1">
      <x:c r="A16" s="1"/>
      <x:c r="B16" s="1"/>
      <x:c r="C16" s="17" t="str">
        <x:v>Free service usage and retained data</x:v>
      </x:c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</x:row>
    <x:row r="17" ht="21" customHeight="1">
      <x:c r="A17" s="1"/>
      <x:c r="B17" s="1"/>
      <x:c r="C17" s="1" t="str">
        <x:v>Worker HTTP requests</x:v>
      </x:c>
      <x:c r="D17" s="18" t="n">
        <x:f>SUM(F17:Q17)</x:f>
        <x:v>2248502666.666667</x:v>
      </x:c>
      <x:c r="E17" s="18"/>
      <x:c r="F17" s="18" t="n">
        <x:f>F11*'Assumptions'!$E$13*(1+'Assumptions'!$E$44)</x:f>
        <x:v>31056666.666666664</x:v>
      </x:c>
      <x:c r="G17" s="18" t="n">
        <x:f>G11*'Assumptions'!$E$13*(1+'Assumptions'!$E$44)</x:f>
        <x:v>49912500.00000001</x:v>
      </x:c>
      <x:c r="H17" s="18" t="n">
        <x:f>H11*'Assumptions'!$E$13*(1+'Assumptions'!$E$44)</x:f>
        <x:v>75645166.66666667</x:v>
      </x:c>
      <x:c r="I17" s="18" t="n">
        <x:f>I11*'Assumptions'!$E$13*(1+'Assumptions'!$E$44)</x:f>
        <x:v>103152500.00000001</x:v>
      </x:c>
      <x:c r="J17" s="18" t="n">
        <x:f>J11*'Assumptions'!$E$13*(1+'Assumptions'!$E$44)</x:f>
        <x:v>124226666.66666666</x:v>
      </x:c>
      <x:c r="K17" s="18" t="n">
        <x:f>K11*'Assumptions'!$E$13*(1+'Assumptions'!$E$44)</x:f>
        <x:v>171920833.33333334</x:v>
      </x:c>
      <x:c r="L17" s="18" t="n">
        <x:f>L11*'Assumptions'!$E$13*(1+'Assumptions'!$E$44)</x:f>
        <x:v>199650000.00000003</x:v>
      </x:c>
      <x:c r="M17" s="18" t="n">
        <x:f>M11*'Assumptions'!$E$13*(1+'Assumptions'!$E$44)</x:f>
        <x:v>240689166.66666666</x:v>
      </x:c>
      <x:c r="N17" s="18" t="n">
        <x:f>N11*'Assumptions'!$E$13*(1+'Assumptions'!$E$44)</x:f>
        <x:v>266200000</x:v>
      </x:c>
      <x:c r="O17" s="18" t="n">
        <x:f>O11*'Assumptions'!$E$13*(1+'Assumptions'!$E$44)</x:f>
        <x:v>309457500</x:v>
      </x:c>
      <x:c r="P17" s="18" t="n">
        <x:f>P11*'Assumptions'!$E$13*(1+'Assumptions'!$E$44)</x:f>
        <x:v>343841666.6666667</x:v>
      </x:c>
      <x:c r="Q17" s="18" t="n">
        <x:f>Q11*'Assumptions'!$E$13*(1+'Assumptions'!$E$44)</x:f>
        <x:v>332750000</x:v>
      </x:c>
    </x:row>
    <x:row r="18" ht="21" customHeight="1">
      <x:c r="A18" s="1"/>
      <x:c r="B18" s="1"/>
      <x:c r="C18" s="1" t="str">
        <x:v>Worker CPU milliseconds</x:v>
      </x:c>
      <x:c r="D18" s="18" t="n">
        <x:f>SUM(F18:Q18)</x:f>
        <x:v>11242513333.333334</x:v>
      </x:c>
      <x:c r="E18" s="18"/>
      <x:c r="F18" s="18" t="n">
        <x:f>F17*'Assumptions'!$E$40</x:f>
        <x:v>155283333.3333333</x:v>
      </x:c>
      <x:c r="G18" s="18" t="n">
        <x:f>G17*'Assumptions'!$E$40</x:f>
        <x:v>249562500.00000003</x:v>
      </x:c>
      <x:c r="H18" s="18" t="n">
        <x:f>H17*'Assumptions'!$E$40</x:f>
        <x:v>378225833.3333334</x:v>
      </x:c>
      <x:c r="I18" s="18" t="n">
        <x:f>I17*'Assumptions'!$E$40</x:f>
        <x:v>515762500.00000006</x:v>
      </x:c>
      <x:c r="J18" s="18" t="n">
        <x:f>J17*'Assumptions'!$E$40</x:f>
        <x:v>621133333.3333333</x:v>
      </x:c>
      <x:c r="K18" s="18" t="n">
        <x:f>K17*'Assumptions'!$E$40</x:f>
        <x:v>859604166.6666667</x:v>
      </x:c>
      <x:c r="L18" s="18" t="n">
        <x:f>L17*'Assumptions'!$E$40</x:f>
        <x:v>998250000.0000001</x:v>
      </x:c>
      <x:c r="M18" s="18" t="n">
        <x:f>M17*'Assumptions'!$E$40</x:f>
        <x:v>1203445833.3333333</x:v>
      </x:c>
      <x:c r="N18" s="18" t="n">
        <x:f>N17*'Assumptions'!$E$40</x:f>
        <x:v>1331000000</x:v>
      </x:c>
      <x:c r="O18" s="18" t="n">
        <x:f>O17*'Assumptions'!$E$40</x:f>
        <x:v>1547287500</x:v>
      </x:c>
      <x:c r="P18" s="18" t="n">
        <x:f>P17*'Assumptions'!$E$40</x:f>
        <x:v>1719208333.3333335</x:v>
      </x:c>
      <x:c r="Q18" s="18" t="n">
        <x:f>Q17*'Assumptions'!$E$40</x:f>
        <x:v>1663750000</x:v>
      </x:c>
    </x:row>
    <x:row r="19" ht="21" customHeight="1">
      <x:c r="A19" s="1"/>
      <x:c r="B19" s="1"/>
      <x:c r="C19" s="1" t="str">
        <x:v>Backend-object requests</x:v>
      </x:c>
      <x:c r="D19" s="18" t="n">
        <x:f>SUM(F19:Q19)</x:f>
        <x:v>4796805688.888889</x:v>
      </x:c>
      <x:c r="E19" s="18"/>
      <x:c r="F19" s="18" t="n">
        <x:f>F11*'Assumptions'!$E$14*(1+'Assumptions'!$E$44)</x:f>
        <x:v>66254222.222222224</x:v>
      </x:c>
      <x:c r="G19" s="18" t="n">
        <x:f>G11*'Assumptions'!$E$14*(1+'Assumptions'!$E$44)</x:f>
        <x:v>106480000.00000001</x:v>
      </x:c>
      <x:c r="H19" s="18" t="n">
        <x:f>H11*'Assumptions'!$E$14*(1+'Assumptions'!$E$44)</x:f>
        <x:v>161376355.55555558</x:v>
      </x:c>
      <x:c r="I19" s="18" t="n">
        <x:f>I11*'Assumptions'!$E$14*(1+'Assumptions'!$E$44)</x:f>
        <x:v>220058666.6666667</x:v>
      </x:c>
      <x:c r="J19" s="18" t="n">
        <x:f>J11*'Assumptions'!$E$14*(1+'Assumptions'!$E$44)</x:f>
        <x:v>265016888.8888889</x:v>
      </x:c>
      <x:c r="K19" s="18" t="n">
        <x:f>K11*'Assumptions'!$E$14*(1+'Assumptions'!$E$44)</x:f>
        <x:v>366764444.4444444</x:v>
      </x:c>
      <x:c r="L19" s="18" t="n">
        <x:f>L11*'Assumptions'!$E$14*(1+'Assumptions'!$E$44)</x:f>
        <x:v>425920000.00000006</x:v>
      </x:c>
      <x:c r="M19" s="18" t="n">
        <x:f>M11*'Assumptions'!$E$14*(1+'Assumptions'!$E$44)</x:f>
        <x:v>513470222.2222222</x:v>
      </x:c>
      <x:c r="N19" s="18" t="n">
        <x:f>N11*'Assumptions'!$E$14*(1+'Assumptions'!$E$44)</x:f>
        <x:v>567893333.3333334</x:v>
      </x:c>
      <x:c r="O19" s="18" t="n">
        <x:f>O11*'Assumptions'!$E$14*(1+'Assumptions'!$E$44)</x:f>
        <x:v>660176000</x:v>
      </x:c>
      <x:c r="P19" s="18" t="n">
        <x:f>P11*'Assumptions'!$E$14*(1+'Assumptions'!$E$44)</x:f>
        <x:v>733528888.8888888</x:v>
      </x:c>
      <x:c r="Q19" s="18" t="n">
        <x:f>Q11*'Assumptions'!$E$14*(1+'Assumptions'!$E$44)</x:f>
        <x:v>709866666.6666666</x:v>
      </x:c>
    </x:row>
    <x:row r="20" ht="21" customHeight="1">
      <x:c r="A20" s="1"/>
      <x:c r="B20" s="1"/>
      <x:c r="C20" s="1" t="str">
        <x:v>Backend-object GB-seconds</x:v>
      </x:c>
      <x:c r="D20" s="18" t="n">
        <x:f>SUM(F20:Q20)</x:f>
        <x:v>27941275.238400005</x:v>
      </x:c>
      <x:c r="E20" s="18"/>
      <x:c r="F20" s="18" t="n">
        <x:f>(F7*'Assumptions'!$I$24*F9*8*3600*'Assumptions'!$E$17*(1+'Assumptions'!$E$44)+'Assumptions'!$E$41*F9*86400*'Assumptions'!$E$42)*'Assumptions'!$E$43</x:f>
        <x:v>894652.416</x:v>
      </x:c>
      <x:c r="G20" s="18" t="n">
        <x:f>(G7*'Assumptions'!$I$24*G9*8*3600*'Assumptions'!$E$17*(1+'Assumptions'!$E$44)+'Assumptions'!$E$41*G9*86400*'Assumptions'!$E$42)*'Assumptions'!$E$43</x:f>
        <x:v>1106058.24</x:v>
      </x:c>
      <x:c r="H20" s="18" t="n">
        <x:f>(H7*'Assumptions'!$I$24*H9*8*3600*'Assumptions'!$E$17*(1+'Assumptions'!$E$44)+'Assumptions'!$E$41*H9*86400*'Assumptions'!$E$42)*'Assumptions'!$E$43</x:f>
        <x:v>1356313.1904000002</x:v>
      </x:c>
      <x:c r="I20" s="18" t="n">
        <x:f>(I7*'Assumptions'!$I$24*I9*8*3600*'Assumptions'!$E$17*(1+'Assumptions'!$E$44)+'Assumptions'!$E$41*I9*86400*'Assumptions'!$E$42)*'Assumptions'!$E$43</x:f>
        <x:v>1600183.296</x:v>
      </x:c>
      <x:c r="J20" s="18" t="n">
        <x:f>(J7*'Assumptions'!$I$24*J9*8*3600*'Assumptions'!$E$17*(1+'Assumptions'!$E$44)+'Assumptions'!$E$41*J9*86400*'Assumptions'!$E$42)*'Assumptions'!$E$43</x:f>
        <x:v>1720664.064</x:v>
      </x:c>
      <x:c r="K20" s="18" t="n">
        <x:f>(K7*'Assumptions'!$I$24*K9*8*3600*'Assumptions'!$E$17*(1+'Assumptions'!$E$44)+'Assumptions'!$E$41*K9*86400*'Assumptions'!$E$42)*'Assumptions'!$E$43</x:f>
        <x:v>2209858.56</x:v>
      </x:c>
      <x:c r="L20" s="18" t="n">
        <x:f>(L7*'Assumptions'!$I$24*L9*8*3600*'Assumptions'!$E$17*(1+'Assumptions'!$E$44)+'Assumptions'!$E$41*L9*86400*'Assumptions'!$E$42)*'Assumptions'!$E$43</x:f>
        <x:v>2433576.96</x:v>
      </x:c>
      <x:c r="M20" s="18" t="n">
        <x:f>(M7*'Assumptions'!$I$24*M9*8*3600*'Assumptions'!$E$17*(1+'Assumptions'!$E$44)+'Assumptions'!$E$41*M9*86400*'Assumptions'!$E$42)*'Assumptions'!$E$43</x:f>
        <x:v>2819533.824</x:v>
      </x:c>
      <x:c r="N20" s="18" t="n">
        <x:f>(N7*'Assumptions'!$I$24*N9*8*3600*'Assumptions'!$E$17*(1+'Assumptions'!$E$44)+'Assumptions'!$E$41*N9*86400*'Assumptions'!$E$42)*'Assumptions'!$E$43</x:f>
        <x:v>3023585.2800000003</x:v>
      </x:c>
      <x:c r="O20" s="18" t="n">
        <x:f>(O7*'Assumptions'!$I$24*O9*8*3600*'Assumptions'!$E$17*(1+'Assumptions'!$E$44)+'Assumptions'!$E$41*O9*86400*'Assumptions'!$E$42)*'Assumptions'!$E$43</x:f>
        <x:v>3429209.088</x:v>
      </x:c>
      <x:c r="P20" s="18" t="n">
        <x:f>(P7*'Assumptions'!$I$24*P9*8*3600*'Assumptions'!$E$17*(1+'Assumptions'!$E$44)+'Assumptions'!$E$41*P9*86400*'Assumptions'!$E$42)*'Assumptions'!$E$43</x:f>
        <x:v>3734046.7200000007</x:v>
      </x:c>
      <x:c r="Q20" s="18" t="n">
        <x:f>(Q7*'Assumptions'!$I$24*Q9*8*3600*'Assumptions'!$E$17*(1+'Assumptions'!$E$44)+'Assumptions'!$E$41*Q9*86400*'Assumptions'!$E$42)*'Assumptions'!$E$43</x:f>
        <x:v>3613593.6</x:v>
      </x:c>
    </x:row>
    <x:row r="21" ht="21" customHeight="1">
      <x:c r="A21" s="1"/>
      <x:c r="B21" s="1"/>
      <x:c r="C21" s="1" t="str">
        <x:v>SQLite rows read</x:v>
      </x:c>
      <x:c r="D21" s="18" t="n">
        <x:f>SUM(F21:Q21)</x:f>
        <x:v>22485026666.666668</x:v>
      </x:c>
      <x:c r="E21" s="18"/>
      <x:c r="F21" s="18" t="n">
        <x:f>F11*'Assumptions'!$E$15*(1+'Assumptions'!$E$44)</x:f>
        <x:v>310566666.6666667</x:v>
      </x:c>
      <x:c r="G21" s="18" t="n">
        <x:f>G11*'Assumptions'!$E$15*(1+'Assumptions'!$E$44)</x:f>
        <x:v>499125000.00000006</x:v>
      </x:c>
      <x:c r="H21" s="18" t="n">
        <x:f>H11*'Assumptions'!$E$15*(1+'Assumptions'!$E$44)</x:f>
        <x:v>756451666.6666667</x:v>
      </x:c>
      <x:c r="I21" s="18" t="n">
        <x:f>I11*'Assumptions'!$E$15*(1+'Assumptions'!$E$44)</x:f>
        <x:v>1031525000.0000001</x:v>
      </x:c>
      <x:c r="J21" s="18" t="n">
        <x:f>J11*'Assumptions'!$E$15*(1+'Assumptions'!$E$44)</x:f>
        <x:v>1242266666.6666667</x:v>
      </x:c>
      <x:c r="K21" s="18" t="n">
        <x:f>K11*'Assumptions'!$E$15*(1+'Assumptions'!$E$44)</x:f>
        <x:v>1719208333.3333333</x:v>
      </x:c>
      <x:c r="L21" s="18" t="n">
        <x:f>L11*'Assumptions'!$E$15*(1+'Assumptions'!$E$44)</x:f>
        <x:v>1996500000.0000002</x:v>
      </x:c>
      <x:c r="M21" s="18" t="n">
        <x:f>M11*'Assumptions'!$E$15*(1+'Assumptions'!$E$44)</x:f>
        <x:v>2406891666.6666665</x:v>
      </x:c>
      <x:c r="N21" s="18" t="n">
        <x:f>N11*'Assumptions'!$E$15*(1+'Assumptions'!$E$44)</x:f>
        <x:v>2661999999.9999995</x:v>
      </x:c>
      <x:c r="O21" s="18" t="n">
        <x:f>O11*'Assumptions'!$E$15*(1+'Assumptions'!$E$44)</x:f>
        <x:v>3094575000.0000005</x:v>
      </x:c>
      <x:c r="P21" s="18" t="n">
        <x:f>P11*'Assumptions'!$E$15*(1+'Assumptions'!$E$44)</x:f>
        <x:v>3438416666.6666665</x:v>
      </x:c>
      <x:c r="Q21" s="18" t="n">
        <x:f>Q11*'Assumptions'!$E$15*(1+'Assumptions'!$E$44)</x:f>
        <x:v>3327500000.0000005</x:v>
      </x:c>
    </x:row>
    <x:row r="22" ht="21" customHeight="1">
      <x:c r="A22" s="1"/>
      <x:c r="B22" s="1"/>
      <x:c r="C22" s="1" t="str">
        <x:v>SQLite rows written</x:v>
      </x:c>
      <x:c r="D22" s="18" t="n">
        <x:f>SUM(F22:Q22)</x:f>
        <x:v>299800355.5555556</x:v>
      </x:c>
      <x:c r="E22" s="18"/>
      <x:c r="F22" s="18" t="n">
        <x:f>F11*'Assumptions'!$E$16*(1+'Assumptions'!$E$44)</x:f>
        <x:v>4140888.888888889</x:v>
      </x:c>
      <x:c r="G22" s="18" t="n">
        <x:f>G11*'Assumptions'!$E$16*(1+'Assumptions'!$E$44)</x:f>
        <x:v>6655000.000000001</x:v>
      </x:c>
      <x:c r="H22" s="18" t="n">
        <x:f>H11*'Assumptions'!$E$16*(1+'Assumptions'!$E$44)</x:f>
        <x:v>10086022.222222224</x:v>
      </x:c>
      <x:c r="I22" s="18" t="n">
        <x:f>I11*'Assumptions'!$E$16*(1+'Assumptions'!$E$44)</x:f>
        <x:v>13753666.666666668</x:v>
      </x:c>
      <x:c r="J22" s="18" t="n">
        <x:f>J11*'Assumptions'!$E$16*(1+'Assumptions'!$E$44)</x:f>
        <x:v>16563555.555555556</x:v>
      </x:c>
      <x:c r="K22" s="18" t="n">
        <x:f>K11*'Assumptions'!$E$16*(1+'Assumptions'!$E$44)</x:f>
        <x:v>22922777.777777776</x:v>
      </x:c>
      <x:c r="L22" s="18" t="n">
        <x:f>L11*'Assumptions'!$E$16*(1+'Assumptions'!$E$44)</x:f>
        <x:v>26620000.000000004</x:v>
      </x:c>
      <x:c r="M22" s="18" t="n">
        <x:f>M11*'Assumptions'!$E$16*(1+'Assumptions'!$E$44)</x:f>
        <x:v>32091888.888888888</x:v>
      </x:c>
      <x:c r="N22" s="18" t="n">
        <x:f>N11*'Assumptions'!$E$16*(1+'Assumptions'!$E$44)</x:f>
        <x:v>35493333.333333336</x:v>
      </x:c>
      <x:c r="O22" s="18" t="n">
        <x:f>O11*'Assumptions'!$E$16*(1+'Assumptions'!$E$44)</x:f>
        <x:v>41261000</x:v>
      </x:c>
      <x:c r="P22" s="18" t="n">
        <x:f>P11*'Assumptions'!$E$16*(1+'Assumptions'!$E$44)</x:f>
        <x:v>45845555.55555555</x:v>
      </x:c>
      <x:c r="Q22" s="18" t="n">
        <x:f>Q11*'Assumptions'!$E$16*(1+'Assumptions'!$E$44)</x:f>
        <x:v>44366666.666666664</x:v>
      </x:c>
    </x:row>
    <x:row r="23" ht="21" customHeight="1">
      <x:c r="A23" s="1"/>
      <x:c r="B23" s="1"/>
      <x:c r="C23" s="1" t="str">
        <x:v>SQLite GB-month</x:v>
      </x:c>
      <x:c r="D23" s="18" t="n">
        <x:f>SUM(F23:Q23)</x:f>
        <x:v>3081.5400000000004</x:v>
      </x:c>
      <x:c r="E23" s="18"/>
      <x:c r="F23" s="18" t="n">
        <x:f>F10*'Assumptions'!$E$33*(1+'Assumptions'!$E$44)</x:f>
        <x:v>46.2</x:v>
      </x:c>
      <x:c r="G23" s="18" t="n">
        <x:f>G10*'Assumptions'!$E$33*(1+'Assumptions'!$E$44)</x:f>
        <x:v>69.30000000000001</x:v>
      </x:c>
      <x:c r="H23" s="18" t="n">
        <x:f>H10*'Assumptions'!$E$33*(1+'Assumptions'!$E$44)</x:f>
        <x:v>101.64000000000001</x:v>
      </x:c>
      <x:c r="I23" s="18" t="n">
        <x:f>I10*'Assumptions'!$E$33*(1+'Assumptions'!$E$44)</x:f>
        <x:v>138.60000000000002</x:v>
      </x:c>
      <x:c r="J23" s="18" t="n">
        <x:f>J10*'Assumptions'!$E$33*(1+'Assumptions'!$E$44)</x:f>
        <x:v>184.8</x:v>
      </x:c>
      <x:c r="K23" s="18" t="n">
        <x:f>K10*'Assumptions'!$E$33*(1+'Assumptions'!$E$44)</x:f>
        <x:v>231.00000000000003</x:v>
      </x:c>
      <x:c r="L23" s="18" t="n">
        <x:f>L10*'Assumptions'!$E$33*(1+'Assumptions'!$E$44)</x:f>
        <x:v>277.20000000000005</x:v>
      </x:c>
      <x:c r="M23" s="18" t="n">
        <x:f>M10*'Assumptions'!$E$33*(1+'Assumptions'!$E$44)</x:f>
        <x:v>323.40000000000003</x:v>
      </x:c>
      <x:c r="N23" s="18" t="n">
        <x:f>N10*'Assumptions'!$E$33*(1+'Assumptions'!$E$44)</x:f>
        <x:v>369.6</x:v>
      </x:c>
      <x:c r="O23" s="18" t="n">
        <x:f>O10*'Assumptions'!$E$33*(1+'Assumptions'!$E$44)</x:f>
        <x:v>415.8</x:v>
      </x:c>
      <x:c r="P23" s="18" t="n">
        <x:f>P10*'Assumptions'!$E$33*(1+'Assumptions'!$E$44)</x:f>
        <x:v>462.00000000000006</x:v>
      </x:c>
      <x:c r="Q23" s="18" t="n">
        <x:f>Q10*'Assumptions'!$E$33*(1+'Assumptions'!$E$44)</x:f>
        <x:v>462.00000000000006</x:v>
      </x:c>
    </x:row>
    <x:row r="24" ht="21" customHeight="1">
      <x:c r="A24" s="1"/>
      <x:c r="B24" s="1"/>
      <x:c r="C24" s="1" t="str">
        <x:v>R2 GB-month</x:v>
      </x:c>
      <x:c r="D24" s="18" t="n">
        <x:f>SUM(F24:Q24)</x:f>
        <x:v>14674</x:v>
      </x:c>
      <x:c r="E24" s="18"/>
      <x:c r="F24" s="18" t="n">
        <x:f>F10*'Assumptions'!$E$34*(1+'Assumptions'!$E$44)</x:f>
        <x:v>220.00000000000003</x:v>
      </x:c>
      <x:c r="G24" s="18" t="n">
        <x:f>G10*'Assumptions'!$E$34*(1+'Assumptions'!$E$44)</x:f>
        <x:v>330</x:v>
      </x:c>
      <x:c r="H24" s="18" t="n">
        <x:f>H10*'Assumptions'!$E$34*(1+'Assumptions'!$E$44)</x:f>
        <x:v>484.00000000000006</x:v>
      </x:c>
      <x:c r="I24" s="18" t="n">
        <x:f>I10*'Assumptions'!$E$34*(1+'Assumptions'!$E$44)</x:f>
        <x:v>660</x:v>
      </x:c>
      <x:c r="J24" s="18" t="n">
        <x:f>J10*'Assumptions'!$E$34*(1+'Assumptions'!$E$44)</x:f>
        <x:v>880.0000000000001</x:v>
      </x:c>
      <x:c r="K24" s="18" t="n">
        <x:f>K10*'Assumptions'!$E$34*(1+'Assumptions'!$E$44)</x:f>
        <x:v>1100</x:v>
      </x:c>
      <x:c r="L24" s="18" t="n">
        <x:f>L10*'Assumptions'!$E$34*(1+'Assumptions'!$E$44)</x:f>
        <x:v>1320</x:v>
      </x:c>
      <x:c r="M24" s="18" t="n">
        <x:f>M10*'Assumptions'!$E$34*(1+'Assumptions'!$E$44)</x:f>
        <x:v>1540.0000000000002</x:v>
      </x:c>
      <x:c r="N24" s="18" t="n">
        <x:f>N10*'Assumptions'!$E$34*(1+'Assumptions'!$E$44)</x:f>
        <x:v>1760.0000000000002</x:v>
      </x:c>
      <x:c r="O24" s="18" t="n">
        <x:f>O10*'Assumptions'!$E$34*(1+'Assumptions'!$E$44)</x:f>
        <x:v>1980.0000000000002</x:v>
      </x:c>
      <x:c r="P24" s="18" t="n">
        <x:f>P10*'Assumptions'!$E$34*(1+'Assumptions'!$E$44)</x:f>
        <x:v>2200</x:v>
      </x:c>
      <x:c r="Q24" s="18" t="n">
        <x:f>Q10*'Assumptions'!$E$34*(1+'Assumptions'!$E$44)</x:f>
        <x:v>2200</x:v>
      </x:c>
    </x:row>
    <x:row r="25" ht="21" customHeight="1">
      <x:c r="A25" s="1"/>
      <x:c r="B25" s="1"/>
      <x:c r="C25" s="1" t="str">
        <x:v>R2 class A operations</x:v>
      </x:c>
      <x:c r="D25" s="18" t="n">
        <x:f>SUM(F25:Q25)</x:f>
        <x:v>899401.0666666667</x:v>
      </x:c>
      <x:c r="E25" s="18"/>
      <x:c r="F25" s="18" t="n">
        <x:f>F11*'Assumptions'!$E$36*(1+'Assumptions'!$E$44)</x:f>
        <x:v>12422.666666666666</x:v>
      </x:c>
      <x:c r="G25" s="18" t="n">
        <x:f>G11*'Assumptions'!$E$36*(1+'Assumptions'!$E$44)</x:f>
        <x:v>19965</x:v>
      </x:c>
      <x:c r="H25" s="18" t="n">
        <x:f>H11*'Assumptions'!$E$36*(1+'Assumptions'!$E$44)</x:f>
        <x:v>30258.06666666667</x:v>
      </x:c>
      <x:c r="I25" s="18" t="n">
        <x:f>I11*'Assumptions'!$E$36*(1+'Assumptions'!$E$44)</x:f>
        <x:v>41261</x:v>
      </x:c>
      <x:c r="J25" s="18" t="n">
        <x:f>J11*'Assumptions'!$E$36*(1+'Assumptions'!$E$44)</x:f>
        <x:v>49690.666666666664</x:v>
      </x:c>
      <x:c r="K25" s="18" t="n">
        <x:f>K11*'Assumptions'!$E$36*(1+'Assumptions'!$E$44)</x:f>
        <x:v>68768.33333333333</x:v>
      </x:c>
      <x:c r="L25" s="18" t="n">
        <x:f>L11*'Assumptions'!$E$36*(1+'Assumptions'!$E$44)</x:f>
        <x:v>79860</x:v>
      </x:c>
      <x:c r="M25" s="18" t="n">
        <x:f>M11*'Assumptions'!$E$36*(1+'Assumptions'!$E$44)</x:f>
        <x:v>96275.66666666667</x:v>
      </x:c>
      <x:c r="N25" s="18" t="n">
        <x:f>N11*'Assumptions'!$E$36*(1+'Assumptions'!$E$44)</x:f>
        <x:v>106479.99999999999</x:v>
      </x:c>
      <x:c r="O25" s="18" t="n">
        <x:f>O11*'Assumptions'!$E$36*(1+'Assumptions'!$E$44)</x:f>
        <x:v>123783.00000000001</x:v>
      </x:c>
      <x:c r="P25" s="18" t="n">
        <x:f>P11*'Assumptions'!$E$36*(1+'Assumptions'!$E$44)</x:f>
        <x:v>137536.66666666666</x:v>
      </x:c>
      <x:c r="Q25" s="18" t="n">
        <x:f>Q11*'Assumptions'!$E$36*(1+'Assumptions'!$E$44)</x:f>
        <x:v>133100</x:v>
      </x:c>
    </x:row>
    <x:row r="26" ht="21" customHeight="1">
      <x:c r="A26" s="1"/>
      <x:c r="B26" s="1"/>
      <x:c r="C26" s="1" t="str">
        <x:v>R2 class B operations</x:v>
      </x:c>
      <x:c r="D26" s="18" t="n">
        <x:f>SUM(F26:Q26)</x:f>
        <x:v>4497005.333333334</x:v>
      </x:c>
      <x:c r="E26" s="18"/>
      <x:c r="F26" s="18" t="n">
        <x:f>F11*'Assumptions'!$E$37*(1+'Assumptions'!$E$44)</x:f>
        <x:v>62113.33333333333</x:v>
      </x:c>
      <x:c r="G26" s="18" t="n">
        <x:f>G11*'Assumptions'!$E$37*(1+'Assumptions'!$E$44)</x:f>
        <x:v>99825.00000000001</x:v>
      </x:c>
      <x:c r="H26" s="18" t="n">
        <x:f>H11*'Assumptions'!$E$37*(1+'Assumptions'!$E$44)</x:f>
        <x:v>151290.33333333334</x:v>
      </x:c>
      <x:c r="I26" s="18" t="n">
        <x:f>I11*'Assumptions'!$E$37*(1+'Assumptions'!$E$44)</x:f>
        <x:v>206305.00000000003</x:v>
      </x:c>
      <x:c r="J26" s="18" t="n">
        <x:f>J11*'Assumptions'!$E$37*(1+'Assumptions'!$E$44)</x:f>
        <x:v>248453.3333333333</x:v>
      </x:c>
      <x:c r="K26" s="18" t="n">
        <x:f>K11*'Assumptions'!$E$37*(1+'Assumptions'!$E$44)</x:f>
        <x:v>343841.6666666667</x:v>
      </x:c>
      <x:c r="L26" s="18" t="n">
        <x:f>L11*'Assumptions'!$E$37*(1+'Assumptions'!$E$44)</x:f>
        <x:v>399300.00000000006</x:v>
      </x:c>
      <x:c r="M26" s="18" t="n">
        <x:f>M11*'Assumptions'!$E$37*(1+'Assumptions'!$E$44)</x:f>
        <x:v>481378.3333333333</x:v>
      </x:c>
      <x:c r="N26" s="18" t="n">
        <x:f>N11*'Assumptions'!$E$37*(1+'Assumptions'!$E$44)</x:f>
        <x:v>532400</x:v>
      </x:c>
      <x:c r="O26" s="18" t="n">
        <x:f>O11*'Assumptions'!$E$37*(1+'Assumptions'!$E$44)</x:f>
        <x:v>618915</x:v>
      </x:c>
      <x:c r="P26" s="18" t="n">
        <x:f>P11*'Assumptions'!$E$37*(1+'Assumptions'!$E$44)</x:f>
        <x:v>687683.3333333334</x:v>
      </x:c>
      <x:c r="Q26" s="18" t="n">
        <x:f>Q11*'Assumptions'!$E$37*(1+'Assumptions'!$E$44)</x:f>
        <x:v>665500</x:v>
      </x:c>
    </x:row>
    <x:row r="27" ht="21" customHeight="1">
      <x:c r="A27" s="1"/>
      <x:c r="B27" s="1"/>
      <x:c r="C27" s="1" t="str">
        <x:v>D1 rows read</x:v>
      </x:c>
      <x:c r="D27" s="18" t="n">
        <x:f>SUM(F27:Q27)</x:f>
        <x:v>293480000</x:v>
      </x:c>
      <x:c r="E27" s="18"/>
      <x:c r="F27" s="18" t="n">
        <x:f>F8*'Assumptions'!$E$38*(1+'Assumptions'!$E$44)</x:f>
        <x:v>4400000</x:v>
      </x:c>
      <x:c r="G27" s="18" t="n">
        <x:f>G8*'Assumptions'!$E$38*(1+'Assumptions'!$E$44)</x:f>
        <x:v>6600000.000000001</x:v>
      </x:c>
      <x:c r="H27" s="18" t="n">
        <x:f>H8*'Assumptions'!$E$38*(1+'Assumptions'!$E$44)</x:f>
        <x:v>9680000</x:v>
      </x:c>
      <x:c r="I27" s="18" t="n">
        <x:f>I8*'Assumptions'!$E$38*(1+'Assumptions'!$E$44)</x:f>
        <x:v>13200000.000000002</x:v>
      </x:c>
      <x:c r="J27" s="18" t="n">
        <x:f>J8*'Assumptions'!$E$38*(1+'Assumptions'!$E$44)</x:f>
        <x:v>17600000</x:v>
      </x:c>
      <x:c r="K27" s="18" t="n">
        <x:f>K8*'Assumptions'!$E$38*(1+'Assumptions'!$E$44)</x:f>
        <x:v>22000000</x:v>
      </x:c>
      <x:c r="L27" s="18" t="n">
        <x:f>L8*'Assumptions'!$E$38*(1+'Assumptions'!$E$44)</x:f>
        <x:v>26400000.000000004</x:v>
      </x:c>
      <x:c r="M27" s="18" t="n">
        <x:f>M8*'Assumptions'!$E$38*(1+'Assumptions'!$E$44)</x:f>
        <x:v>30800000.000000004</x:v>
      </x:c>
      <x:c r="N27" s="18" t="n">
        <x:f>N8*'Assumptions'!$E$38*(1+'Assumptions'!$E$44)</x:f>
        <x:v>35200000</x:v>
      </x:c>
      <x:c r="O27" s="18" t="n">
        <x:f>O8*'Assumptions'!$E$38*(1+'Assumptions'!$E$44)</x:f>
        <x:v>39600000</x:v>
      </x:c>
      <x:c r="P27" s="18" t="n">
        <x:f>P8*'Assumptions'!$E$38*(1+'Assumptions'!$E$44)</x:f>
        <x:v>44000000</x:v>
      </x:c>
      <x:c r="Q27" s="18" t="n">
        <x:f>Q8*'Assumptions'!$E$38*(1+'Assumptions'!$E$44)</x:f>
        <x:v>44000000</x:v>
      </x:c>
    </x:row>
    <x:row r="28" ht="21" customHeight="1">
      <x:c r="A28" s="1"/>
      <x:c r="B28" s="1"/>
      <x:c r="C28" s="1" t="str">
        <x:v>D1 rows written</x:v>
      </x:c>
      <x:c r="D28" s="18" t="n">
        <x:f>SUM(F28:Q28)</x:f>
        <x:v>29348000</x:v>
      </x:c>
      <x:c r="E28" s="18"/>
      <x:c r="F28" s="18" t="n">
        <x:f>F8*'Assumptions'!$E$39*(1+'Assumptions'!$E$44)</x:f>
        <x:v>440000.00000000006</x:v>
      </x:c>
      <x:c r="G28" s="18" t="n">
        <x:f>G8*'Assumptions'!$E$39*(1+'Assumptions'!$E$44)</x:f>
        <x:v>660000</x:v>
      </x:c>
      <x:c r="H28" s="18" t="n">
        <x:f>H8*'Assumptions'!$E$39*(1+'Assumptions'!$E$44)</x:f>
        <x:v>968000.0000000001</x:v>
      </x:c>
      <x:c r="I28" s="18" t="n">
        <x:f>I8*'Assumptions'!$E$39*(1+'Assumptions'!$E$44)</x:f>
        <x:v>1320000</x:v>
      </x:c>
      <x:c r="J28" s="18" t="n">
        <x:f>J8*'Assumptions'!$E$39*(1+'Assumptions'!$E$44)</x:f>
        <x:v>1760000.0000000002</x:v>
      </x:c>
      <x:c r="K28" s="18" t="n">
        <x:f>K8*'Assumptions'!$E$39*(1+'Assumptions'!$E$44)</x:f>
        <x:v>2200000</x:v>
      </x:c>
      <x:c r="L28" s="18" t="n">
        <x:f>L8*'Assumptions'!$E$39*(1+'Assumptions'!$E$44)</x:f>
        <x:v>2640000</x:v>
      </x:c>
      <x:c r="M28" s="18" t="n">
        <x:f>M8*'Assumptions'!$E$39*(1+'Assumptions'!$E$44)</x:f>
        <x:v>3080000.0000000005</x:v>
      </x:c>
      <x:c r="N28" s="18" t="n">
        <x:f>N8*'Assumptions'!$E$39*(1+'Assumptions'!$E$44)</x:f>
        <x:v>3520000.0000000005</x:v>
      </x:c>
      <x:c r="O28" s="18" t="n">
        <x:f>O8*'Assumptions'!$E$39*(1+'Assumptions'!$E$44)</x:f>
        <x:v>3960000.0000000005</x:v>
      </x:c>
      <x:c r="P28" s="18" t="n">
        <x:f>P8*'Assumptions'!$E$39*(1+'Assumptions'!$E$44)</x:f>
        <x:v>4400000</x:v>
      </x:c>
      <x:c r="Q28" s="18" t="n">
        <x:f>Q8*'Assumptions'!$E$39*(1+'Assumptions'!$E$44)</x:f>
        <x:v>4400000</x:v>
      </x:c>
    </x:row>
    <x:row r="29" ht="21" customHeight="1">
      <x:c r="A29" s="1"/>
      <x:c r="B29" s="1"/>
      <x:c r="C29" s="1" t="str">
        <x:v>D1 GB-month</x:v>
      </x:c>
      <x:c r="D29" s="18" t="n">
        <x:f>SUM(F29:Q29)</x:f>
        <x:v>293.48</x:v>
      </x:c>
      <x:c r="E29" s="18"/>
      <x:c r="F29" s="18" t="n">
        <x:f>F10*'Assumptions'!$E$35*(1+'Assumptions'!$E$44)</x:f>
        <x:v>4.4</x:v>
      </x:c>
      <x:c r="G29" s="18" t="n">
        <x:f>G10*'Assumptions'!$E$35*(1+'Assumptions'!$E$44)</x:f>
        <x:v>6.6000000000000005</x:v>
      </x:c>
      <x:c r="H29" s="18" t="n">
        <x:f>H10*'Assumptions'!$E$35*(1+'Assumptions'!$E$44)</x:f>
        <x:v>9.680000000000001</x:v>
      </x:c>
      <x:c r="I29" s="18" t="n">
        <x:f>I10*'Assumptions'!$E$35*(1+'Assumptions'!$E$44)</x:f>
        <x:v>13.200000000000001</x:v>
      </x:c>
      <x:c r="J29" s="18" t="n">
        <x:f>J10*'Assumptions'!$E$35*(1+'Assumptions'!$E$44)</x:f>
        <x:v>17.6</x:v>
      </x:c>
      <x:c r="K29" s="18" t="n">
        <x:f>K10*'Assumptions'!$E$35*(1+'Assumptions'!$E$44)</x:f>
        <x:v>22</x:v>
      </x:c>
      <x:c r="L29" s="18" t="n">
        <x:f>L10*'Assumptions'!$E$35*(1+'Assumptions'!$E$44)</x:f>
        <x:v>26.400000000000002</x:v>
      </x:c>
      <x:c r="M29" s="18" t="n">
        <x:f>M10*'Assumptions'!$E$35*(1+'Assumptions'!$E$44)</x:f>
        <x:v>30.800000000000004</x:v>
      </x:c>
      <x:c r="N29" s="18" t="n">
        <x:f>N10*'Assumptions'!$E$35*(1+'Assumptions'!$E$44)</x:f>
        <x:v>35.2</x:v>
      </x:c>
      <x:c r="O29" s="18" t="n">
        <x:f>O10*'Assumptions'!$E$35*(1+'Assumptions'!$E$44)</x:f>
        <x:v>39.6</x:v>
      </x:c>
      <x:c r="P29" s="18" t="n">
        <x:f>P10*'Assumptions'!$E$35*(1+'Assumptions'!$E$44)</x:f>
        <x:v>44</x:v>
      </x:c>
      <x:c r="Q29" s="18" t="n">
        <x:f>Q10*'Assumptions'!$E$35*(1+'Assumptions'!$E$44)</x:f>
        <x:v>44</x:v>
      </x:c>
    </x:row>
    <x:row r="30" ht="21" customHeight="1">
      <x:c r="A30" s="1"/>
      <x:c r="B30" s="1"/>
      <x:c r="C30" s="1" t="str">
        <x:v>Sampled log events</x:v>
      </x:c>
      <x:c r="D30" s="18" t="n">
        <x:f>SUM(F30:Q30)</x:f>
        <x:v>449700533.3333334</x:v>
      </x:c>
      <x:c r="E30" s="18"/>
      <x:c r="F30" s="18" t="n">
        <x:f>F17*'Assumptions'!$E$45*'Assumptions'!$E$46</x:f>
        <x:v>6211333.333333333</x:v>
      </x:c>
      <x:c r="G30" s="18" t="n">
        <x:f>G17*'Assumptions'!$E$45*'Assumptions'!$E$46</x:f>
        <x:v>9982500.000000002</x:v>
      </x:c>
      <x:c r="H30" s="18" t="n">
        <x:f>H17*'Assumptions'!$E$45*'Assumptions'!$E$46</x:f>
        <x:v>15129033.333333336</x:v>
      </x:c>
      <x:c r="I30" s="18" t="n">
        <x:f>I17*'Assumptions'!$E$45*'Assumptions'!$E$46</x:f>
        <x:v>20630500.000000004</x:v>
      </x:c>
      <x:c r="J30" s="18" t="n">
        <x:f>J17*'Assumptions'!$E$45*'Assumptions'!$E$46</x:f>
        <x:v>24845333.333333332</x:v>
      </x:c>
      <x:c r="K30" s="18" t="n">
        <x:f>K17*'Assumptions'!$E$45*'Assumptions'!$E$46</x:f>
        <x:v>34384166.66666667</x:v>
      </x:c>
      <x:c r="L30" s="18" t="n">
        <x:f>L17*'Assumptions'!$E$45*'Assumptions'!$E$46</x:f>
        <x:v>39930000.00000001</x:v>
      </x:c>
      <x:c r="M30" s="18" t="n">
        <x:f>M17*'Assumptions'!$E$45*'Assumptions'!$E$46</x:f>
        <x:v>48137833.333333336</x:v>
      </x:c>
      <x:c r="N30" s="18" t="n">
        <x:f>N17*'Assumptions'!$E$45*'Assumptions'!$E$46</x:f>
        <x:v>53240000</x:v>
      </x:c>
      <x:c r="O30" s="18" t="n">
        <x:f>O17*'Assumptions'!$E$45*'Assumptions'!$E$46</x:f>
        <x:v>61891500</x:v>
      </x:c>
      <x:c r="P30" s="18" t="n">
        <x:f>P17*'Assumptions'!$E$45*'Assumptions'!$E$46</x:f>
        <x:v>68768333.33333334</x:v>
      </x:c>
      <x:c r="Q30" s="18" t="n">
        <x:f>Q17*'Assumptions'!$E$45*'Assumptions'!$E$46</x:f>
        <x:v>66550000</x:v>
      </x:c>
    </x:row>
    <x:row r="31" ht="21" customHeight="1">
      <x:c r="A31" s="1"/>
      <x:c r="B31" s="1"/>
      <x:c r="C31" s="1" t="str">
        <x:v>Log ingestion GB</x:v>
      </x:c>
      <x:c r="D31" s="18" t="n">
        <x:f>SUM(F31:Q31)</x:f>
        <x:v>449.70053333333334</x:v>
      </x:c>
      <x:c r="E31" s="18"/>
      <x:c r="F31" s="18" t="n">
        <x:f>F30*'Assumptions'!$E$47/1000000000</x:f>
        <x:v>6.211333333333333</x:v>
      </x:c>
      <x:c r="G31" s="18" t="n">
        <x:f>G30*'Assumptions'!$E$47/1000000000</x:f>
        <x:v>9.982500000000002</x:v>
      </x:c>
      <x:c r="H31" s="18" t="n">
        <x:f>H30*'Assumptions'!$E$47/1000000000</x:f>
        <x:v>15.129033333333336</x:v>
      </x:c>
      <x:c r="I31" s="18" t="n">
        <x:f>I30*'Assumptions'!$E$47/1000000000</x:f>
        <x:v>20.630500000000005</x:v>
      </x:c>
      <x:c r="J31" s="18" t="n">
        <x:f>J30*'Assumptions'!$E$47/1000000000</x:f>
        <x:v>24.845333333333333</x:v>
      </x:c>
      <x:c r="K31" s="18" t="n">
        <x:f>K30*'Assumptions'!$E$47/1000000000</x:f>
        <x:v>34.38416666666667</x:v>
      </x:c>
      <x:c r="L31" s="18" t="n">
        <x:f>L30*'Assumptions'!$E$47/1000000000</x:f>
        <x:v>39.93000000000001</x:v>
      </x:c>
      <x:c r="M31" s="18" t="n">
        <x:f>M30*'Assumptions'!$E$47/1000000000</x:f>
        <x:v>48.13783333333333</x:v>
      </x:c>
      <x:c r="N31" s="18" t="n">
        <x:f>N30*'Assumptions'!$E$47/1000000000</x:f>
        <x:v>53.24</x:v>
      </x:c>
      <x:c r="O31" s="18" t="n">
        <x:f>O30*'Assumptions'!$E$47/1000000000</x:f>
        <x:v>61.8915</x:v>
      </x:c>
      <x:c r="P31" s="18" t="n">
        <x:f>P30*'Assumptions'!$E$47/1000000000</x:f>
        <x:v>68.76833333333335</x:v>
      </x:c>
      <x:c r="Q31" s="18" t="n">
        <x:f>Q30*'Assumptions'!$E$47/1000000000</x:f>
        <x:v>66.55</x:v>
      </x:c>
    </x:row>
    <x:row r="32" ht="21" customHeight="1">
      <x:c r="A32" s="1"/>
      <x:c r="B32" s="1"/>
      <x:c r="C32" s="1" t="str">
        <x:v>Queryable log GB-month</x:v>
      </x:c>
      <x:c r="D32" s="18" t="n">
        <x:f>SUM(F32:Q32)</x:f>
        <x:v>103.57398333333335</x:v>
      </x:c>
      <x:c r="E32" s="18"/>
      <x:c r="F32" s="18" t="n">
        <x:f>F31*'Assumptions'!$E$48/F9</x:f>
        <x:v>1.5528333333333333</x:v>
      </x:c>
      <x:c r="G32" s="18" t="n">
        <x:f>G31*'Assumptions'!$E$48/G9</x:f>
        <x:v>2.3292500000000005</x:v>
      </x:c>
      <x:c r="H32" s="18" t="n">
        <x:f>H31*'Assumptions'!$E$48/H9</x:f>
        <x:v>3.416233333333334</x:v>
      </x:c>
      <x:c r="I32" s="18" t="n">
        <x:f>I31*'Assumptions'!$E$48/I9</x:f>
        <x:v>4.658500000000001</x:v>
      </x:c>
      <x:c r="J32" s="18" t="n">
        <x:f>J31*'Assumptions'!$E$48/J9</x:f>
        <x:v>6.211333333333333</x:v>
      </x:c>
      <x:c r="K32" s="18" t="n">
        <x:f>K31*'Assumptions'!$E$48/K9</x:f>
        <x:v>7.764166666666669</x:v>
      </x:c>
      <x:c r="L32" s="18" t="n">
        <x:f>L31*'Assumptions'!$E$48/L9</x:f>
        <x:v>9.317000000000002</x:v>
      </x:c>
      <x:c r="M32" s="18" t="n">
        <x:f>M31*'Assumptions'!$E$48/M9</x:f>
        <x:v>10.869833333333334</x:v>
      </x:c>
      <x:c r="N32" s="18" t="n">
        <x:f>N31*'Assumptions'!$E$48/N9</x:f>
        <x:v>12.422666666666666</x:v>
      </x:c>
      <x:c r="O32" s="18" t="n">
        <x:f>O31*'Assumptions'!$E$48/O9</x:f>
        <x:v>13.9755</x:v>
      </x:c>
      <x:c r="P32" s="18" t="n">
        <x:f>P31*'Assumptions'!$E$48/P9</x:f>
        <x:v>15.528333333333338</x:v>
      </x:c>
      <x:c r="Q32" s="18" t="n">
        <x:f>Q31*'Assumptions'!$E$48/Q9</x:f>
        <x:v>15.528333333333332</x:v>
      </x:c>
    </x:row>
    <x:row r="33" ht="24" customHeight="1">
      <x:c r="A33" s="1"/>
      <x:c r="B33" s="1"/>
      <x:c r="C33" s="17" t="str">
        <x:v>Additional future Cloud Agents usage</x:v>
      </x:c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</x:row>
    <x:row r="34" ht="21" customHeight="1">
      <x:c r="A34" s="1"/>
      <x:c r="B34" s="1"/>
      <x:c r="C34" s="1" t="str">
        <x:v>http from running Agents</x:v>
      </x:c>
      <x:c r="D34" s="18" t="n">
        <x:f>SUM(F34:Q34)</x:f>
        <x:v>0</x:v>
      </x:c>
      <x:c r="E34" s="18"/>
      <x:c r="F34" s="18" t="n">
        <x:f>F14*'Assumptions'!$E$77</x:f>
        <x:v>0</x:v>
      </x:c>
      <x:c r="G34" s="18" t="n">
        <x:f>G14*'Assumptions'!$E$77</x:f>
        <x:v>0</x:v>
      </x:c>
      <x:c r="H34" s="18" t="n">
        <x:f>H14*'Assumptions'!$E$77</x:f>
        <x:v>0</x:v>
      </x:c>
      <x:c r="I34" s="18" t="n">
        <x:f>I14*'Assumptions'!$E$77</x:f>
        <x:v>0</x:v>
      </x:c>
      <x:c r="J34" s="18" t="n">
        <x:f>J14*'Assumptions'!$E$77</x:f>
        <x:v>0</x:v>
      </x:c>
      <x:c r="K34" s="18" t="n">
        <x:f>K14*'Assumptions'!$E$77</x:f>
        <x:v>0</x:v>
      </x:c>
      <x:c r="L34" s="18" t="n">
        <x:f>L14*'Assumptions'!$E$77</x:f>
        <x:v>0</x:v>
      </x:c>
      <x:c r="M34" s="18" t="n">
        <x:f>M14*'Assumptions'!$E$77</x:f>
        <x:v>0</x:v>
      </x:c>
      <x:c r="N34" s="18" t="n">
        <x:f>N14*'Assumptions'!$E$77</x:f>
        <x:v>0</x:v>
      </x:c>
      <x:c r="O34" s="18" t="n">
        <x:f>O14*'Assumptions'!$E$77</x:f>
        <x:v>0</x:v>
      </x:c>
      <x:c r="P34" s="18" t="n">
        <x:f>P14*'Assumptions'!$E$77</x:f>
        <x:v>0</x:v>
      </x:c>
      <x:c r="Q34" s="18" t="n">
        <x:f>Q14*'Assumptions'!$E$77</x:f>
        <x:v>0</x:v>
      </x:c>
    </x:row>
    <x:row r="35" ht="21" customHeight="1">
      <x:c r="A35" s="1"/>
      <x:c r="B35" s="1"/>
      <x:c r="C35" s="1" t="str">
        <x:v>cpu from running Agents</x:v>
      </x:c>
      <x:c r="D35" s="18" t="n">
        <x:f>SUM(F35:Q35)</x:f>
        <x:v>0</x:v>
      </x:c>
      <x:c r="E35" s="18"/>
      <x:c r="F35" s="18" t="n">
        <x:f>F14*'Assumptions'!$E$77*'Assumptions'!$E$40</x:f>
        <x:v>0</x:v>
      </x:c>
      <x:c r="G35" s="18" t="n">
        <x:f>G14*'Assumptions'!$E$77*'Assumptions'!$E$40</x:f>
        <x:v>0</x:v>
      </x:c>
      <x:c r="H35" s="18" t="n">
        <x:f>H14*'Assumptions'!$E$77*'Assumptions'!$E$40</x:f>
        <x:v>0</x:v>
      </x:c>
      <x:c r="I35" s="18" t="n">
        <x:f>I14*'Assumptions'!$E$77*'Assumptions'!$E$40</x:f>
        <x:v>0</x:v>
      </x:c>
      <x:c r="J35" s="18" t="n">
        <x:f>J14*'Assumptions'!$E$77*'Assumptions'!$E$40</x:f>
        <x:v>0</x:v>
      </x:c>
      <x:c r="K35" s="18" t="n">
        <x:f>K14*'Assumptions'!$E$77*'Assumptions'!$E$40</x:f>
        <x:v>0</x:v>
      </x:c>
      <x:c r="L35" s="18" t="n">
        <x:f>L14*'Assumptions'!$E$77*'Assumptions'!$E$40</x:f>
        <x:v>0</x:v>
      </x:c>
      <x:c r="M35" s="18" t="n">
        <x:f>M14*'Assumptions'!$E$77*'Assumptions'!$E$40</x:f>
        <x:v>0</x:v>
      </x:c>
      <x:c r="N35" s="18" t="n">
        <x:f>N14*'Assumptions'!$E$77*'Assumptions'!$E$40</x:f>
        <x:v>0</x:v>
      </x:c>
      <x:c r="O35" s="18" t="n">
        <x:f>O14*'Assumptions'!$E$77*'Assumptions'!$E$40</x:f>
        <x:v>0</x:v>
      </x:c>
      <x:c r="P35" s="18" t="n">
        <x:f>P14*'Assumptions'!$E$77*'Assumptions'!$E$40</x:f>
        <x:v>0</x:v>
      </x:c>
      <x:c r="Q35" s="18" t="n">
        <x:f>Q14*'Assumptions'!$E$77*'Assumptions'!$E$40</x:f>
        <x:v>0</x:v>
      </x:c>
    </x:row>
    <x:row r="36" ht="21" customHeight="1">
      <x:c r="A36" s="1"/>
      <x:c r="B36" s="1"/>
      <x:c r="C36" s="1" t="str">
        <x:v>doRequests from running Agents</x:v>
      </x:c>
      <x:c r="D36" s="18" t="n">
        <x:f>SUM(F36:Q36)</x:f>
        <x:v>0</x:v>
      </x:c>
      <x:c r="E36" s="18"/>
      <x:c r="F36" s="18" t="n">
        <x:f>F14*'Assumptions'!$E$78</x:f>
        <x:v>0</x:v>
      </x:c>
      <x:c r="G36" s="18" t="n">
        <x:f>G14*'Assumptions'!$E$78</x:f>
        <x:v>0</x:v>
      </x:c>
      <x:c r="H36" s="18" t="n">
        <x:f>H14*'Assumptions'!$E$78</x:f>
        <x:v>0</x:v>
      </x:c>
      <x:c r="I36" s="18" t="n">
        <x:f>I14*'Assumptions'!$E$78</x:f>
        <x:v>0</x:v>
      </x:c>
      <x:c r="J36" s="18" t="n">
        <x:f>J14*'Assumptions'!$E$78</x:f>
        <x:v>0</x:v>
      </x:c>
      <x:c r="K36" s="18" t="n">
        <x:f>K14*'Assumptions'!$E$78</x:f>
        <x:v>0</x:v>
      </x:c>
      <x:c r="L36" s="18" t="n">
        <x:f>L14*'Assumptions'!$E$78</x:f>
        <x:v>0</x:v>
      </x:c>
      <x:c r="M36" s="18" t="n">
        <x:f>M14*'Assumptions'!$E$78</x:f>
        <x:v>0</x:v>
      </x:c>
      <x:c r="N36" s="18" t="n">
        <x:f>N14*'Assumptions'!$E$78</x:f>
        <x:v>0</x:v>
      </x:c>
      <x:c r="O36" s="18" t="n">
        <x:f>O14*'Assumptions'!$E$78</x:f>
        <x:v>0</x:v>
      </x:c>
      <x:c r="P36" s="18" t="n">
        <x:f>P14*'Assumptions'!$E$78</x:f>
        <x:v>0</x:v>
      </x:c>
      <x:c r="Q36" s="18" t="n">
        <x:f>Q14*'Assumptions'!$E$78</x:f>
        <x:v>0</x:v>
      </x:c>
    </x:row>
    <x:row r="37" ht="21" customHeight="1">
      <x:c r="A37" s="1"/>
      <x:c r="B37" s="1"/>
      <x:c r="C37" s="1" t="str">
        <x:v>doDuration from running Agents</x:v>
      </x:c>
      <x:c r="D37" s="18" t="n">
        <x:f>SUM(F37:Q37)</x:f>
        <x:v>0</x:v>
      </x:c>
      <x:c r="E37" s="18"/>
      <x:c r="F37" s="18" t="n">
        <x:f>F14*3600*'Assumptions'!$E$43</x:f>
        <x:v>0</x:v>
      </x:c>
      <x:c r="G37" s="18" t="n">
        <x:f>G14*3600*'Assumptions'!$E$43</x:f>
        <x:v>0</x:v>
      </x:c>
      <x:c r="H37" s="18" t="n">
        <x:f>H14*3600*'Assumptions'!$E$43</x:f>
        <x:v>0</x:v>
      </x:c>
      <x:c r="I37" s="18" t="n">
        <x:f>I14*3600*'Assumptions'!$E$43</x:f>
        <x:v>0</x:v>
      </x:c>
      <x:c r="J37" s="18" t="n">
        <x:f>J14*3600*'Assumptions'!$E$43</x:f>
        <x:v>0</x:v>
      </x:c>
      <x:c r="K37" s="18" t="n">
        <x:f>K14*3600*'Assumptions'!$E$43</x:f>
        <x:v>0</x:v>
      </x:c>
      <x:c r="L37" s="18" t="n">
        <x:f>L14*3600*'Assumptions'!$E$43</x:f>
        <x:v>0</x:v>
      </x:c>
      <x:c r="M37" s="18" t="n">
        <x:f>M14*3600*'Assumptions'!$E$43</x:f>
        <x:v>0</x:v>
      </x:c>
      <x:c r="N37" s="18" t="n">
        <x:f>N14*3600*'Assumptions'!$E$43</x:f>
        <x:v>0</x:v>
      </x:c>
      <x:c r="O37" s="18" t="n">
        <x:f>O14*3600*'Assumptions'!$E$43</x:f>
        <x:v>0</x:v>
      </x:c>
      <x:c r="P37" s="18" t="n">
        <x:f>P14*3600*'Assumptions'!$E$43</x:f>
        <x:v>0</x:v>
      </x:c>
      <x:c r="Q37" s="18" t="n">
        <x:f>Q14*3600*'Assumptions'!$E$43</x:f>
        <x:v>0</x:v>
      </x:c>
    </x:row>
    <x:row r="38" ht="21" customHeight="1">
      <x:c r="A38" s="1"/>
      <x:c r="B38" s="1"/>
      <x:c r="C38" s="1" t="str">
        <x:v>doReads from running Agents</x:v>
      </x:c>
      <x:c r="D38" s="18" t="n">
        <x:f>SUM(F38:Q38)</x:f>
        <x:v>0</x:v>
      </x:c>
      <x:c r="E38" s="18"/>
      <x:c r="F38" s="18" t="n">
        <x:f>F14*'Assumptions'!$E$80</x:f>
        <x:v>0</x:v>
      </x:c>
      <x:c r="G38" s="18" t="n">
        <x:f>G14*'Assumptions'!$E$80</x:f>
        <x:v>0</x:v>
      </x:c>
      <x:c r="H38" s="18" t="n">
        <x:f>H14*'Assumptions'!$E$80</x:f>
        <x:v>0</x:v>
      </x:c>
      <x:c r="I38" s="18" t="n">
        <x:f>I14*'Assumptions'!$E$80</x:f>
        <x:v>0</x:v>
      </x:c>
      <x:c r="J38" s="18" t="n">
        <x:f>J14*'Assumptions'!$E$80</x:f>
        <x:v>0</x:v>
      </x:c>
      <x:c r="K38" s="18" t="n">
        <x:f>K14*'Assumptions'!$E$80</x:f>
        <x:v>0</x:v>
      </x:c>
      <x:c r="L38" s="18" t="n">
        <x:f>L14*'Assumptions'!$E$80</x:f>
        <x:v>0</x:v>
      </x:c>
      <x:c r="M38" s="18" t="n">
        <x:f>M14*'Assumptions'!$E$80</x:f>
        <x:v>0</x:v>
      </x:c>
      <x:c r="N38" s="18" t="n">
        <x:f>N14*'Assumptions'!$E$80</x:f>
        <x:v>0</x:v>
      </x:c>
      <x:c r="O38" s="18" t="n">
        <x:f>O14*'Assumptions'!$E$80</x:f>
        <x:v>0</x:v>
      </x:c>
      <x:c r="P38" s="18" t="n">
        <x:f>P14*'Assumptions'!$E$80</x:f>
        <x:v>0</x:v>
      </x:c>
      <x:c r="Q38" s="18" t="n">
        <x:f>Q14*'Assumptions'!$E$80</x:f>
        <x:v>0</x:v>
      </x:c>
    </x:row>
    <x:row r="39" ht="21" customHeight="1">
      <x:c r="A39" s="1"/>
      <x:c r="B39" s="1"/>
      <x:c r="C39" s="1" t="str">
        <x:v>doWrites from running Agents</x:v>
      </x:c>
      <x:c r="D39" s="18" t="n">
        <x:f>SUM(F39:Q39)</x:f>
        <x:v>0</x:v>
      </x:c>
      <x:c r="E39" s="18"/>
      <x:c r="F39" s="18" t="n">
        <x:f>F14*'Assumptions'!$E$79</x:f>
        <x:v>0</x:v>
      </x:c>
      <x:c r="G39" s="18" t="n">
        <x:f>G14*'Assumptions'!$E$79</x:f>
        <x:v>0</x:v>
      </x:c>
      <x:c r="H39" s="18" t="n">
        <x:f>H14*'Assumptions'!$E$79</x:f>
        <x:v>0</x:v>
      </x:c>
      <x:c r="I39" s="18" t="n">
        <x:f>I14*'Assumptions'!$E$79</x:f>
        <x:v>0</x:v>
      </x:c>
      <x:c r="J39" s="18" t="n">
        <x:f>J14*'Assumptions'!$E$79</x:f>
        <x:v>0</x:v>
      </x:c>
      <x:c r="K39" s="18" t="n">
        <x:f>K14*'Assumptions'!$E$79</x:f>
        <x:v>0</x:v>
      </x:c>
      <x:c r="L39" s="18" t="n">
        <x:f>L14*'Assumptions'!$E$79</x:f>
        <x:v>0</x:v>
      </x:c>
      <x:c r="M39" s="18" t="n">
        <x:f>M14*'Assumptions'!$E$79</x:f>
        <x:v>0</x:v>
      </x:c>
      <x:c r="N39" s="18" t="n">
        <x:f>N14*'Assumptions'!$E$79</x:f>
        <x:v>0</x:v>
      </x:c>
      <x:c r="O39" s="18" t="n">
        <x:f>O14*'Assumptions'!$E$79</x:f>
        <x:v>0</x:v>
      </x:c>
      <x:c r="P39" s="18" t="n">
        <x:f>P14*'Assumptions'!$E$79</x:f>
        <x:v>0</x:v>
      </x:c>
      <x:c r="Q39" s="18" t="n">
        <x:f>Q14*'Assumptions'!$E$79</x:f>
        <x:v>0</x:v>
      </x:c>
    </x:row>
    <x:row r="40" ht="21" customHeight="1">
      <x:c r="A40" s="1"/>
      <x:c r="B40" s="1"/>
      <x:c r="C40" s="1" t="str">
        <x:v>logEvents from running Agents</x:v>
      </x:c>
      <x:c r="D40" s="18" t="n">
        <x:f>SUM(F40:Q40)</x:f>
        <x:v>0</x:v>
      </x:c>
      <x:c r="E40" s="18"/>
      <x:c r="F40" s="18" t="n">
        <x:f>F14*'Assumptions'!$E$81*1000000000/'Assumptions'!$E$47</x:f>
        <x:v>0</x:v>
      </x:c>
      <x:c r="G40" s="18" t="n">
        <x:f>G14*'Assumptions'!$E$81*1000000000/'Assumptions'!$E$47</x:f>
        <x:v>0</x:v>
      </x:c>
      <x:c r="H40" s="18" t="n">
        <x:f>H14*'Assumptions'!$E$81*1000000000/'Assumptions'!$E$47</x:f>
        <x:v>0</x:v>
      </x:c>
      <x:c r="I40" s="18" t="n">
        <x:f>I14*'Assumptions'!$E$81*1000000000/'Assumptions'!$E$47</x:f>
        <x:v>0</x:v>
      </x:c>
      <x:c r="J40" s="18" t="n">
        <x:f>J14*'Assumptions'!$E$81*1000000000/'Assumptions'!$E$47</x:f>
        <x:v>0</x:v>
      </x:c>
      <x:c r="K40" s="18" t="n">
        <x:f>K14*'Assumptions'!$E$81*1000000000/'Assumptions'!$E$47</x:f>
        <x:v>0</x:v>
      </x:c>
      <x:c r="L40" s="18" t="n">
        <x:f>L14*'Assumptions'!$E$81*1000000000/'Assumptions'!$E$47</x:f>
        <x:v>0</x:v>
      </x:c>
      <x:c r="M40" s="18" t="n">
        <x:f>M14*'Assumptions'!$E$81*1000000000/'Assumptions'!$E$47</x:f>
        <x:v>0</x:v>
      </x:c>
      <x:c r="N40" s="18" t="n">
        <x:f>N14*'Assumptions'!$E$81*1000000000/'Assumptions'!$E$47</x:f>
        <x:v>0</x:v>
      </x:c>
      <x:c r="O40" s="18" t="n">
        <x:f>O14*'Assumptions'!$E$81*1000000000/'Assumptions'!$E$47</x:f>
        <x:v>0</x:v>
      </x:c>
      <x:c r="P40" s="18" t="n">
        <x:f>P14*'Assumptions'!$E$81*1000000000/'Assumptions'!$E$47</x:f>
        <x:v>0</x:v>
      </x:c>
      <x:c r="Q40" s="18" t="n">
        <x:f>Q14*'Assumptions'!$E$81*1000000000/'Assumptions'!$E$47</x:f>
        <x:v>0</x:v>
      </x:c>
    </x:row>
    <x:row r="41" ht="21" customHeight="1">
      <x:c r="A41" s="1"/>
      <x:c r="B41" s="1"/>
      <x:c r="C41" s="1" t="str">
        <x:v>logGb from running Agents</x:v>
      </x:c>
      <x:c r="D41" s="18" t="n">
        <x:f>SUM(F41:Q41)</x:f>
        <x:v>0</x:v>
      </x:c>
      <x:c r="E41" s="18"/>
      <x:c r="F41" s="18" t="n">
        <x:f>F14*'Assumptions'!$E$81</x:f>
        <x:v>0</x:v>
      </x:c>
      <x:c r="G41" s="18" t="n">
        <x:f>G14*'Assumptions'!$E$81</x:f>
        <x:v>0</x:v>
      </x:c>
      <x:c r="H41" s="18" t="n">
        <x:f>H14*'Assumptions'!$E$81</x:f>
        <x:v>0</x:v>
      </x:c>
      <x:c r="I41" s="18" t="n">
        <x:f>I14*'Assumptions'!$E$81</x:f>
        <x:v>0</x:v>
      </x:c>
      <x:c r="J41" s="18" t="n">
        <x:f>J14*'Assumptions'!$E$81</x:f>
        <x:v>0</x:v>
      </x:c>
      <x:c r="K41" s="18" t="n">
        <x:f>K14*'Assumptions'!$E$81</x:f>
        <x:v>0</x:v>
      </x:c>
      <x:c r="L41" s="18" t="n">
        <x:f>L14*'Assumptions'!$E$81</x:f>
        <x:v>0</x:v>
      </x:c>
      <x:c r="M41" s="18" t="n">
        <x:f>M14*'Assumptions'!$E$81</x:f>
        <x:v>0</x:v>
      </x:c>
      <x:c r="N41" s="18" t="n">
        <x:f>N14*'Assumptions'!$E$81</x:f>
        <x:v>0</x:v>
      </x:c>
      <x:c r="O41" s="18" t="n">
        <x:f>O14*'Assumptions'!$E$81</x:f>
        <x:v>0</x:v>
      </x:c>
      <x:c r="P41" s="18" t="n">
        <x:f>P14*'Assumptions'!$E$81</x:f>
        <x:v>0</x:v>
      </x:c>
      <x:c r="Q41" s="18" t="n">
        <x:f>Q14*'Assumptions'!$E$81</x:f>
        <x:v>0</x:v>
      </x:c>
    </x:row>
    <x:row r="42" ht="21" customHeight="1">
      <x:c r="A42" s="1"/>
      <x:c r="B42" s="1"/>
      <x:c r="C42" s="1" t="str">
        <x:v>logStoredGb from running Agents</x:v>
      </x:c>
      <x:c r="D42" s="18" t="n">
        <x:f>SUM(F42:Q42)</x:f>
        <x:v>0</x:v>
      </x:c>
      <x:c r="E42" s="18"/>
      <x:c r="F42" s="18" t="n">
        <x:f>F14*'Assumptions'!$E$81*'Assumptions'!$E$48/F9</x:f>
        <x:v>0</x:v>
      </x:c>
      <x:c r="G42" s="18" t="n">
        <x:f>G14*'Assumptions'!$E$81*'Assumptions'!$E$48/G9</x:f>
        <x:v>0</x:v>
      </x:c>
      <x:c r="H42" s="18" t="n">
        <x:f>H14*'Assumptions'!$E$81*'Assumptions'!$E$48/H9</x:f>
        <x:v>0</x:v>
      </x:c>
      <x:c r="I42" s="18" t="n">
        <x:f>I14*'Assumptions'!$E$81*'Assumptions'!$E$48/I9</x:f>
        <x:v>0</x:v>
      </x:c>
      <x:c r="J42" s="18" t="n">
        <x:f>J14*'Assumptions'!$E$81*'Assumptions'!$E$48/J9</x:f>
        <x:v>0</x:v>
      </x:c>
      <x:c r="K42" s="18" t="n">
        <x:f>K14*'Assumptions'!$E$81*'Assumptions'!$E$48/K9</x:f>
        <x:v>0</x:v>
      </x:c>
      <x:c r="L42" s="18" t="n">
        <x:f>L14*'Assumptions'!$E$81*'Assumptions'!$E$48/L9</x:f>
        <x:v>0</x:v>
      </x:c>
      <x:c r="M42" s="18" t="n">
        <x:f>M14*'Assumptions'!$E$81*'Assumptions'!$E$48/M9</x:f>
        <x:v>0</x:v>
      </x:c>
      <x:c r="N42" s="18" t="n">
        <x:f>N14*'Assumptions'!$E$81*'Assumptions'!$E$48/N9</x:f>
        <x:v>0</x:v>
      </x:c>
      <x:c r="O42" s="18" t="n">
        <x:f>O14*'Assumptions'!$E$81*'Assumptions'!$E$48/O9</x:f>
        <x:v>0</x:v>
      </x:c>
      <x:c r="P42" s="18" t="n">
        <x:f>P14*'Assumptions'!$E$81*'Assumptions'!$E$48/P9</x:f>
        <x:v>0</x:v>
      </x:c>
      <x:c r="Q42" s="18" t="n">
        <x:f>Q14*'Assumptions'!$E$81*'Assumptions'!$E$48/Q9</x:f>
        <x:v>0</x:v>
      </x:c>
    </x:row>
    <x:row r="43" ht="21" customHeight="1">
      <x:c r="A43" s="1"/>
      <x:c r="B43" s="1"/>
      <x:c r="C43" s="1" t="str">
        <x:v>Active vCPU-hours</x:v>
      </x:c>
      <x:c r="D43" s="18" t="n">
        <x:f>SUM(F43:Q43)</x:f>
        <x:v>0</x:v>
      </x:c>
      <x:c r="E43" s="18"/>
      <x:c r="F43" s="18" t="n">
        <x:f>F14*'Assumptions'!$E$72*'Assumptions'!$E$75</x:f>
        <x:v>0</x:v>
      </x:c>
      <x:c r="G43" s="18" t="n">
        <x:f>G14*'Assumptions'!$E$72*'Assumptions'!$E$75</x:f>
        <x:v>0</x:v>
      </x:c>
      <x:c r="H43" s="18" t="n">
        <x:f>H14*'Assumptions'!$E$72*'Assumptions'!$E$75</x:f>
        <x:v>0</x:v>
      </x:c>
      <x:c r="I43" s="18" t="n">
        <x:f>I14*'Assumptions'!$E$72*'Assumptions'!$E$75</x:f>
        <x:v>0</x:v>
      </x:c>
      <x:c r="J43" s="18" t="n">
        <x:f>J14*'Assumptions'!$E$72*'Assumptions'!$E$75</x:f>
        <x:v>0</x:v>
      </x:c>
      <x:c r="K43" s="18" t="n">
        <x:f>K14*'Assumptions'!$E$72*'Assumptions'!$E$75</x:f>
        <x:v>0</x:v>
      </x:c>
      <x:c r="L43" s="18" t="n">
        <x:f>L14*'Assumptions'!$E$72*'Assumptions'!$E$75</x:f>
        <x:v>0</x:v>
      </x:c>
      <x:c r="M43" s="18" t="n">
        <x:f>M14*'Assumptions'!$E$72*'Assumptions'!$E$75</x:f>
        <x:v>0</x:v>
      </x:c>
      <x:c r="N43" s="18" t="n">
        <x:f>N14*'Assumptions'!$E$72*'Assumptions'!$E$75</x:f>
        <x:v>0</x:v>
      </x:c>
      <x:c r="O43" s="18" t="n">
        <x:f>O14*'Assumptions'!$E$72*'Assumptions'!$E$75</x:f>
        <x:v>0</x:v>
      </x:c>
      <x:c r="P43" s="18" t="n">
        <x:f>P14*'Assumptions'!$E$72*'Assumptions'!$E$75</x:f>
        <x:v>0</x:v>
      </x:c>
      <x:c r="Q43" s="18" t="n">
        <x:f>Q14*'Assumptions'!$E$72*'Assumptions'!$E$75</x:f>
        <x:v>0</x:v>
      </x:c>
    </x:row>
    <x:row r="44" ht="21" customHeight="1">
      <x:c r="A44" s="1"/>
      <x:c r="B44" s="1"/>
      <x:c r="C44" s="1" t="str">
        <x:v>Provisioned GiB-hours</x:v>
      </x:c>
      <x:c r="D44" s="18" t="n">
        <x:f>SUM(F44:Q44)</x:f>
        <x:v>0</x:v>
      </x:c>
      <x:c r="E44" s="18"/>
      <x:c r="F44" s="18" t="n">
        <x:f>F14*'Assumptions'!$E$73</x:f>
        <x:v>0</x:v>
      </x:c>
      <x:c r="G44" s="18" t="n">
        <x:f>G14*'Assumptions'!$E$73</x:f>
        <x:v>0</x:v>
      </x:c>
      <x:c r="H44" s="18" t="n">
        <x:f>H14*'Assumptions'!$E$73</x:f>
        <x:v>0</x:v>
      </x:c>
      <x:c r="I44" s="18" t="n">
        <x:f>I14*'Assumptions'!$E$73</x:f>
        <x:v>0</x:v>
      </x:c>
      <x:c r="J44" s="18" t="n">
        <x:f>J14*'Assumptions'!$E$73</x:f>
        <x:v>0</x:v>
      </x:c>
      <x:c r="K44" s="18" t="n">
        <x:f>K14*'Assumptions'!$E$73</x:f>
        <x:v>0</x:v>
      </x:c>
      <x:c r="L44" s="18" t="n">
        <x:f>L14*'Assumptions'!$E$73</x:f>
        <x:v>0</x:v>
      </x:c>
      <x:c r="M44" s="18" t="n">
        <x:f>M14*'Assumptions'!$E$73</x:f>
        <x:v>0</x:v>
      </x:c>
      <x:c r="N44" s="18" t="n">
        <x:f>N14*'Assumptions'!$E$73</x:f>
        <x:v>0</x:v>
      </x:c>
      <x:c r="O44" s="18" t="n">
        <x:f>O14*'Assumptions'!$E$73</x:f>
        <x:v>0</x:v>
      </x:c>
      <x:c r="P44" s="18" t="n">
        <x:f>P14*'Assumptions'!$E$73</x:f>
        <x:v>0</x:v>
      </x:c>
      <x:c r="Q44" s="18" t="n">
        <x:f>Q14*'Assumptions'!$E$73</x:f>
        <x:v>0</x:v>
      </x:c>
    </x:row>
    <x:row r="45" ht="21" customHeight="1">
      <x:c r="A45" s="1"/>
      <x:c r="B45" s="1"/>
      <x:c r="C45" s="1" t="str">
        <x:v>Provisioned GB-hours</x:v>
      </x:c>
      <x:c r="D45" s="18" t="n">
        <x:f>SUM(F45:Q45)</x:f>
        <x:v>0</x:v>
      </x:c>
      <x:c r="E45" s="18"/>
      <x:c r="F45" s="18" t="n">
        <x:f>F14*'Assumptions'!$E$74</x:f>
        <x:v>0</x:v>
      </x:c>
      <x:c r="G45" s="18" t="n">
        <x:f>G14*'Assumptions'!$E$74</x:f>
        <x:v>0</x:v>
      </x:c>
      <x:c r="H45" s="18" t="n">
        <x:f>H14*'Assumptions'!$E$74</x:f>
        <x:v>0</x:v>
      </x:c>
      <x:c r="I45" s="18" t="n">
        <x:f>I14*'Assumptions'!$E$74</x:f>
        <x:v>0</x:v>
      </x:c>
      <x:c r="J45" s="18" t="n">
        <x:f>J14*'Assumptions'!$E$74</x:f>
        <x:v>0</x:v>
      </x:c>
      <x:c r="K45" s="18" t="n">
        <x:f>K14*'Assumptions'!$E$74</x:f>
        <x:v>0</x:v>
      </x:c>
      <x:c r="L45" s="18" t="n">
        <x:f>L14*'Assumptions'!$E$74</x:f>
        <x:v>0</x:v>
      </x:c>
      <x:c r="M45" s="18" t="n">
        <x:f>M14*'Assumptions'!$E$74</x:f>
        <x:v>0</x:v>
      </x:c>
      <x:c r="N45" s="18" t="n">
        <x:f>N14*'Assumptions'!$E$74</x:f>
        <x:v>0</x:v>
      </x:c>
      <x:c r="O45" s="18" t="n">
        <x:f>O14*'Assumptions'!$E$74</x:f>
        <x:v>0</x:v>
      </x:c>
      <x:c r="P45" s="18" t="n">
        <x:f>P14*'Assumptions'!$E$74</x:f>
        <x:v>0</x:v>
      </x:c>
      <x:c r="Q45" s="18" t="n">
        <x:f>Q14*'Assumptions'!$E$74</x:f>
        <x:v>0</x:v>
      </x:c>
    </x:row>
    <x:row r="46" ht="21" customHeight="1">
      <x:c r="A46" s="1"/>
      <x:c r="B46" s="1"/>
      <x:c r="C46" s="1" t="str">
        <x:v>Container egress GB</x:v>
      </x:c>
      <x:c r="D46" s="18" t="n">
        <x:f>SUM(F46:Q46)</x:f>
        <x:v>0</x:v>
      </x:c>
      <x:c r="E46" s="18"/>
      <x:c r="F46" s="18" t="n">
        <x:f>F14*'Assumptions'!$E$82</x:f>
        <x:v>0</x:v>
      </x:c>
      <x:c r="G46" s="18" t="n">
        <x:f>G14*'Assumptions'!$E$82</x:f>
        <x:v>0</x:v>
      </x:c>
      <x:c r="H46" s="18" t="n">
        <x:f>H14*'Assumptions'!$E$82</x:f>
        <x:v>0</x:v>
      </x:c>
      <x:c r="I46" s="18" t="n">
        <x:f>I14*'Assumptions'!$E$82</x:f>
        <x:v>0</x:v>
      </x:c>
      <x:c r="J46" s="18" t="n">
        <x:f>J14*'Assumptions'!$E$82</x:f>
        <x:v>0</x:v>
      </x:c>
      <x:c r="K46" s="18" t="n">
        <x:f>K14*'Assumptions'!$E$82</x:f>
        <x:v>0</x:v>
      </x:c>
      <x:c r="L46" s="18" t="n">
        <x:f>L14*'Assumptions'!$E$82</x:f>
        <x:v>0</x:v>
      </x:c>
      <x:c r="M46" s="18" t="n">
        <x:f>M14*'Assumptions'!$E$82</x:f>
        <x:v>0</x:v>
      </x:c>
      <x:c r="N46" s="18" t="n">
        <x:f>N14*'Assumptions'!$E$82</x:f>
        <x:v>0</x:v>
      </x:c>
      <x:c r="O46" s="18" t="n">
        <x:f>O14*'Assumptions'!$E$82</x:f>
        <x:v>0</x:v>
      </x:c>
      <x:c r="P46" s="18" t="n">
        <x:f>P14*'Assumptions'!$E$82</x:f>
        <x:v>0</x:v>
      </x:c>
      <x:c r="Q46" s="18" t="n">
        <x:f>Q14*'Assumptions'!$E$82</x:f>
        <x:v>0</x:v>
      </x:c>
    </x:row>
    <x:row r="47" ht="24" customHeight="1">
      <x:c r="A47" s="1"/>
      <x:c r="B47" s="1"/>
      <x:c r="C47" s="17" t="str">
        <x:v>Free service Cloudflare charges (USD)</x:v>
      </x:c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</x:row>
    <x:row r="48" ht="21" customHeight="1">
      <x:c r="A48" s="1"/>
      <x:c r="B48" s="1"/>
      <x:c r="C48" s="1" t="str">
        <x:v>Workers shared monthly minimum</x:v>
      </x:c>
      <x:c r="D48" s="18" t="n">
        <x:f>SUM(F48:Q48)</x:f>
        <x:v>60</x:v>
      </x:c>
      <x:c r="E48" s="18"/>
      <x:c r="F48" s="18" t="n">
        <x:f>'Assumptions'!$E$93</x:f>
        <x:v>5</x:v>
      </x:c>
      <x:c r="G48" s="18" t="n">
        <x:f>'Assumptions'!$E$93</x:f>
        <x:v>5</x:v>
      </x:c>
      <x:c r="H48" s="18" t="n">
        <x:f>'Assumptions'!$E$93</x:f>
        <x:v>5</x:v>
      </x:c>
      <x:c r="I48" s="18" t="n">
        <x:f>'Assumptions'!$E$93</x:f>
        <x:v>5</x:v>
      </x:c>
      <x:c r="J48" s="18" t="n">
        <x:f>'Assumptions'!$E$93</x:f>
        <x:v>5</x:v>
      </x:c>
      <x:c r="K48" s="18" t="n">
        <x:f>'Assumptions'!$E$93</x:f>
        <x:v>5</x:v>
      </x:c>
      <x:c r="L48" s="18" t="n">
        <x:f>'Assumptions'!$E$93</x:f>
        <x:v>5</x:v>
      </x:c>
      <x:c r="M48" s="18" t="n">
        <x:f>'Assumptions'!$E$93</x:f>
        <x:v>5</x:v>
      </x:c>
      <x:c r="N48" s="18" t="n">
        <x:f>'Assumptions'!$E$93</x:f>
        <x:v>5</x:v>
      </x:c>
      <x:c r="O48" s="18" t="n">
        <x:f>'Assumptions'!$E$93</x:f>
        <x:v>5</x:v>
      </x:c>
      <x:c r="P48" s="18" t="n">
        <x:f>'Assumptions'!$E$93</x:f>
        <x:v>5</x:v>
      </x:c>
      <x:c r="Q48" s="18" t="n">
        <x:f>'Assumptions'!$E$93</x:f>
        <x:v>5</x:v>
      </x:c>
    </x:row>
    <x:row r="49" ht="21" customHeight="1">
      <x:c r="A49" s="1"/>
      <x:c r="B49" s="1"/>
      <x:c r="C49" s="1" t="str">
        <x:v>Worker requests</x:v>
      </x:c>
      <x:c r="D49" s="18" t="n">
        <x:f>SUM(F49:Q49)</x:f>
        <x:v>638.5508</x:v>
      </x:c>
      <x:c r="E49" s="18"/>
      <x:c r="F49" s="18" t="n">
        <x:f>MAX(0,F17-'Assumptions'!$E$94)/1000000*'Assumptions'!$E$95</x:f>
        <x:v>6.316999999999999</x:v>
      </x:c>
      <x:c r="G49" s="18" t="n">
        <x:f>MAX(0,G17-'Assumptions'!$E$94)/1000000*'Assumptions'!$E$95</x:f>
        <x:v>11.973750000000003</x:v>
      </x:c>
      <x:c r="H49" s="18" t="n">
        <x:f>MAX(0,H17-'Assumptions'!$E$94)/1000000*'Assumptions'!$E$95</x:f>
        <x:v>19.69355</x:v>
      </x:c>
      <x:c r="I49" s="18" t="n">
        <x:f>MAX(0,I17-'Assumptions'!$E$94)/1000000*'Assumptions'!$E$95</x:f>
        <x:v>27.945750000000004</x:v>
      </x:c>
      <x:c r="J49" s="18" t="n">
        <x:f>MAX(0,J17-'Assumptions'!$E$94)/1000000*'Assumptions'!$E$95</x:f>
        <x:v>34.267999999999994</x:v>
      </x:c>
      <x:c r="K49" s="18" t="n">
        <x:f>MAX(0,K17-'Assumptions'!$E$94)/1000000*'Assumptions'!$E$95</x:f>
        <x:v>48.57625</x:v>
      </x:c>
      <x:c r="L49" s="18" t="n">
        <x:f>MAX(0,L17-'Assumptions'!$E$94)/1000000*'Assumptions'!$E$95</x:f>
        <x:v>56.89500000000001</x:v>
      </x:c>
      <x:c r="M49" s="18" t="n">
        <x:f>MAX(0,M17-'Assumptions'!$E$94)/1000000*'Assumptions'!$E$95</x:f>
        <x:v>69.20675</x:v>
      </x:c>
      <x:c r="N49" s="18" t="n">
        <x:f>MAX(0,N17-'Assumptions'!$E$94)/1000000*'Assumptions'!$E$95</x:f>
        <x:v>76.86</x:v>
      </x:c>
      <x:c r="O49" s="18" t="n">
        <x:f>MAX(0,O17-'Assumptions'!$E$94)/1000000*'Assumptions'!$E$95</x:f>
        <x:v>89.83725</x:v>
      </x:c>
      <x:c r="P49" s="18" t="n">
        <x:f>MAX(0,P17-'Assumptions'!$E$94)/1000000*'Assumptions'!$E$95</x:f>
        <x:v>100.1525</x:v>
      </x:c>
      <x:c r="Q49" s="18" t="n">
        <x:f>MAX(0,Q17-'Assumptions'!$E$94)/1000000*'Assumptions'!$E$95</x:f>
        <x:v>96.825</x:v>
      </x:c>
    </x:row>
    <x:row r="50" ht="21" customHeight="1">
      <x:c r="A50" s="1"/>
      <x:c r="B50" s="1"/>
      <x:c r="C50" s="1" t="str">
        <x:v>Worker CPU</x:v>
      </x:c>
      <x:c r="D50" s="18" t="n">
        <x:f>SUM(F50:Q50)</x:f>
        <x:v>217.65026666666665</x:v>
      </x:c>
      <x:c r="E50" s="18"/>
      <x:c r="F50" s="18" t="n">
        <x:f>MAX(0,F18-'Assumptions'!$E$96)/1000000*'Assumptions'!$E$97</x:f>
        <x:v>2.5056666666666665</x:v>
      </x:c>
      <x:c r="G50" s="18" t="n">
        <x:f>MAX(0,G18-'Assumptions'!$E$96)/1000000*'Assumptions'!$E$97</x:f>
        <x:v>4.39125</x:v>
      </x:c>
      <x:c r="H50" s="18" t="n">
        <x:f>MAX(0,H18-'Assumptions'!$E$96)/1000000*'Assumptions'!$E$97</x:f>
        <x:v>6.964516666666667</x:v>
      </x:c>
      <x:c r="I50" s="18" t="n">
        <x:f>MAX(0,I18-'Assumptions'!$E$96)/1000000*'Assumptions'!$E$97</x:f>
        <x:v>9.715250000000001</x:v>
      </x:c>
      <x:c r="J50" s="18" t="n">
        <x:f>MAX(0,J18-'Assumptions'!$E$96)/1000000*'Assumptions'!$E$97</x:f>
        <x:v>11.822666666666665</x:v>
      </x:c>
      <x:c r="K50" s="18" t="n">
        <x:f>MAX(0,K18-'Assumptions'!$E$96)/1000000*'Assumptions'!$E$97</x:f>
        <x:v>16.592083333333335</x:v>
      </x:c>
      <x:c r="L50" s="18" t="n">
        <x:f>MAX(0,L18-'Assumptions'!$E$96)/1000000*'Assumptions'!$E$97</x:f>
        <x:v>19.365000000000002</x:v>
      </x:c>
      <x:c r="M50" s="18" t="n">
        <x:f>MAX(0,M18-'Assumptions'!$E$96)/1000000*'Assumptions'!$E$97</x:f>
        <x:v>23.468916666666665</x:v>
      </x:c>
      <x:c r="N50" s="18" t="n">
        <x:f>MAX(0,N18-'Assumptions'!$E$96)/1000000*'Assumptions'!$E$97</x:f>
        <x:v>26.02</x:v>
      </x:c>
      <x:c r="O50" s="18" t="n">
        <x:f>MAX(0,O18-'Assumptions'!$E$96)/1000000*'Assumptions'!$E$97</x:f>
        <x:v>30.34575</x:v>
      </x:c>
      <x:c r="P50" s="18" t="n">
        <x:f>MAX(0,P18-'Assumptions'!$E$96)/1000000*'Assumptions'!$E$97</x:f>
        <x:v>33.78416666666667</x:v>
      </x:c>
      <x:c r="Q50" s="18" t="n">
        <x:f>MAX(0,Q18-'Assumptions'!$E$96)/1000000*'Assumptions'!$E$97</x:f>
        <x:v>32.675</x:v>
      </x:c>
    </x:row>
    <x:row r="51" ht="21" customHeight="1">
      <x:c r="A51" s="1"/>
      <x:c r="B51" s="1"/>
      <x:c r="C51" s="1" t="str">
        <x:v>Backend-object requests</x:v>
      </x:c>
      <x:c r="D51" s="18" t="n">
        <x:f>SUM(F51:Q51)</x:f>
        <x:v>718.6500000000001</x:v>
      </x:c>
      <x:c r="E51" s="18"/>
      <x:c r="F51" s="18" t="n">
        <x:f>ROUNDUP(MAX(0,F19-'Assumptions'!$E$98)/1000000,0)*'Assumptions'!$E$99</x:f>
        <x:v>9.9</x:v>
      </x:c>
      <x:c r="G51" s="18" t="n">
        <x:f>ROUNDUP(MAX(0,G19-'Assumptions'!$E$98)/1000000,0)*'Assumptions'!$E$99</x:f>
        <x:v>15.899999999999999</x:v>
      </x:c>
      <x:c r="H51" s="18" t="n">
        <x:f>ROUNDUP(MAX(0,H19-'Assumptions'!$E$98)/1000000,0)*'Assumptions'!$E$99</x:f>
        <x:v>24.15</x:v>
      </x:c>
      <x:c r="I51" s="18" t="n">
        <x:f>ROUNDUP(MAX(0,I19-'Assumptions'!$E$98)/1000000,0)*'Assumptions'!$E$99</x:f>
        <x:v>33</x:v>
      </x:c>
      <x:c r="J51" s="18" t="n">
        <x:f>ROUNDUP(MAX(0,J19-'Assumptions'!$E$98)/1000000,0)*'Assumptions'!$E$99</x:f>
        <x:v>39.75</x:v>
      </x:c>
      <x:c r="K51" s="18" t="n">
        <x:f>ROUNDUP(MAX(0,K19-'Assumptions'!$E$98)/1000000,0)*'Assumptions'!$E$99</x:f>
        <x:v>54.9</x:v>
      </x:c>
      <x:c r="L51" s="18" t="n">
        <x:f>ROUNDUP(MAX(0,L19-'Assumptions'!$E$98)/1000000,0)*'Assumptions'!$E$99</x:f>
        <x:v>63.75</x:v>
      </x:c>
      <x:c r="M51" s="18" t="n">
        <x:f>ROUNDUP(MAX(0,M19-'Assumptions'!$E$98)/1000000,0)*'Assumptions'!$E$99</x:f>
        <x:v>76.95</x:v>
      </x:c>
      <x:c r="N51" s="18" t="n">
        <x:f>ROUNDUP(MAX(0,N19-'Assumptions'!$E$98)/1000000,0)*'Assumptions'!$E$99</x:f>
        <x:v>85.05</x:v>
      </x:c>
      <x:c r="O51" s="18" t="n">
        <x:f>ROUNDUP(MAX(0,O19-'Assumptions'!$E$98)/1000000,0)*'Assumptions'!$E$99</x:f>
        <x:v>99</x:v>
      </x:c>
      <x:c r="P51" s="18" t="n">
        <x:f>ROUNDUP(MAX(0,P19-'Assumptions'!$E$98)/1000000,0)*'Assumptions'!$E$99</x:f>
        <x:v>109.95</x:v>
      </x:c>
      <x:c r="Q51" s="18" t="n">
        <x:f>ROUNDUP(MAX(0,Q19-'Assumptions'!$E$98)/1000000,0)*'Assumptions'!$E$99</x:f>
        <x:v>106.35</x:v>
      </x:c>
    </x:row>
    <x:row r="52" ht="21" customHeight="1">
      <x:c r="A52" s="1"/>
      <x:c r="B52" s="1"/>
      <x:c r="C52" s="1" t="str">
        <x:v>Backend-object duration</x:v>
      </x:c>
      <x:c r="D52" s="18" t="n">
        <x:f>SUM(F52:Q52)</x:f>
        <x:v>375</x:v>
      </x:c>
      <x:c r="E52" s="18"/>
      <x:c r="F52" s="18" t="n">
        <x:f>ROUNDUP(MAX(0,F20-'Assumptions'!$E$100)/1000000,0)*'Assumptions'!$E$101</x:f>
        <x:v>12.5</x:v>
      </x:c>
      <x:c r="G52" s="18" t="n">
        <x:f>ROUNDUP(MAX(0,G20-'Assumptions'!$E$100)/1000000,0)*'Assumptions'!$E$101</x:f>
        <x:v>12.5</x:v>
      </x:c>
      <x:c r="H52" s="18" t="n">
        <x:f>ROUNDUP(MAX(0,H20-'Assumptions'!$E$100)/1000000,0)*'Assumptions'!$E$101</x:f>
        <x:v>12.5</x:v>
      </x:c>
      <x:c r="I52" s="18" t="n">
        <x:f>ROUNDUP(MAX(0,I20-'Assumptions'!$E$100)/1000000,0)*'Assumptions'!$E$101</x:f>
        <x:v>25</x:v>
      </x:c>
      <x:c r="J52" s="18" t="n">
        <x:f>ROUNDUP(MAX(0,J20-'Assumptions'!$E$100)/1000000,0)*'Assumptions'!$E$101</x:f>
        <x:v>25</x:v>
      </x:c>
      <x:c r="K52" s="18" t="n">
        <x:f>ROUNDUP(MAX(0,K20-'Assumptions'!$E$100)/1000000,0)*'Assumptions'!$E$101</x:f>
        <x:v>25</x:v>
      </x:c>
      <x:c r="L52" s="18" t="n">
        <x:f>ROUNDUP(MAX(0,L20-'Assumptions'!$E$100)/1000000,0)*'Assumptions'!$E$101</x:f>
        <x:v>37.5</x:v>
      </x:c>
      <x:c r="M52" s="18" t="n">
        <x:f>ROUNDUP(MAX(0,M20-'Assumptions'!$E$100)/1000000,0)*'Assumptions'!$E$101</x:f>
        <x:v>37.5</x:v>
      </x:c>
      <x:c r="N52" s="18" t="n">
        <x:f>ROUNDUP(MAX(0,N20-'Assumptions'!$E$100)/1000000,0)*'Assumptions'!$E$101</x:f>
        <x:v>37.5</x:v>
      </x:c>
      <x:c r="O52" s="18" t="n">
        <x:f>ROUNDUP(MAX(0,O20-'Assumptions'!$E$100)/1000000,0)*'Assumptions'!$E$101</x:f>
        <x:v>50</x:v>
      </x:c>
      <x:c r="P52" s="18" t="n">
        <x:f>ROUNDUP(MAX(0,P20-'Assumptions'!$E$100)/1000000,0)*'Assumptions'!$E$101</x:f>
        <x:v>50</x:v>
      </x:c>
      <x:c r="Q52" s="18" t="n">
        <x:f>ROUNDUP(MAX(0,Q20-'Assumptions'!$E$100)/1000000,0)*'Assumptions'!$E$101</x:f>
        <x:v>50</x:v>
      </x:c>
    </x:row>
    <x:row r="53" ht="21" customHeight="1">
      <x:c r="A53" s="1"/>
      <x:c r="B53" s="1"/>
      <x:c r="C53" s="1" t="str">
        <x:v>SQLite reads</x:v>
      </x:c>
      <x:c r="D53" s="18" t="n">
        <x:f>SUM(F53:Q53)</x:f>
        <x:v>0</x:v>
      </x:c>
      <x:c r="E53" s="18"/>
      <x:c r="F53" s="18" t="n">
        <x:f>MAX(0,F21-'Assumptions'!$E$102)/1000000*'Assumptions'!$E$103</x:f>
        <x:v>0</x:v>
      </x:c>
      <x:c r="G53" s="18" t="n">
        <x:f>MAX(0,G21-'Assumptions'!$E$102)/1000000*'Assumptions'!$E$103</x:f>
        <x:v>0</x:v>
      </x:c>
      <x:c r="H53" s="18" t="n">
        <x:f>MAX(0,H21-'Assumptions'!$E$102)/1000000*'Assumptions'!$E$103</x:f>
        <x:v>0</x:v>
      </x:c>
      <x:c r="I53" s="18" t="n">
        <x:f>MAX(0,I21-'Assumptions'!$E$102)/1000000*'Assumptions'!$E$103</x:f>
        <x:v>0</x:v>
      </x:c>
      <x:c r="J53" s="18" t="n">
        <x:f>MAX(0,J21-'Assumptions'!$E$102)/1000000*'Assumptions'!$E$103</x:f>
        <x:v>0</x:v>
      </x:c>
      <x:c r="K53" s="18" t="n">
        <x:f>MAX(0,K21-'Assumptions'!$E$102)/1000000*'Assumptions'!$E$103</x:f>
        <x:v>0</x:v>
      </x:c>
      <x:c r="L53" s="18" t="n">
        <x:f>MAX(0,L21-'Assumptions'!$E$102)/1000000*'Assumptions'!$E$103</x:f>
        <x:v>0</x:v>
      </x:c>
      <x:c r="M53" s="18" t="n">
        <x:f>MAX(0,M21-'Assumptions'!$E$102)/1000000*'Assumptions'!$E$103</x:f>
        <x:v>0</x:v>
      </x:c>
      <x:c r="N53" s="18" t="n">
        <x:f>MAX(0,N21-'Assumptions'!$E$102)/1000000*'Assumptions'!$E$103</x:f>
        <x:v>0</x:v>
      </x:c>
      <x:c r="O53" s="18" t="n">
        <x:f>MAX(0,O21-'Assumptions'!$E$102)/1000000*'Assumptions'!$E$103</x:f>
        <x:v>0</x:v>
      </x:c>
      <x:c r="P53" s="18" t="n">
        <x:f>MAX(0,P21-'Assumptions'!$E$102)/1000000*'Assumptions'!$E$103</x:f>
        <x:v>0</x:v>
      </x:c>
      <x:c r="Q53" s="18" t="n">
        <x:f>MAX(0,Q21-'Assumptions'!$E$102)/1000000*'Assumptions'!$E$103</x:f>
        <x:v>0</x:v>
      </x:c>
    </x:row>
    <x:row r="54" ht="21" customHeight="1">
      <x:c r="A54" s="1"/>
      <x:c r="B54" s="1"/>
      <x:c r="C54" s="1" t="str">
        <x:v>SQLite writes</x:v>
      </x:c>
      <x:c r="D54" s="18" t="n">
        <x:f>SUM(F54:Q54)</x:f>
        <x:v>0</x:v>
      </x:c>
      <x:c r="E54" s="18"/>
      <x:c r="F54" s="18" t="n">
        <x:f>MAX(0,F22-'Assumptions'!$E$104)/1000000*'Assumptions'!$E$105</x:f>
        <x:v>0</x:v>
      </x:c>
      <x:c r="G54" s="18" t="n">
        <x:f>MAX(0,G22-'Assumptions'!$E$104)/1000000*'Assumptions'!$E$105</x:f>
        <x:v>0</x:v>
      </x:c>
      <x:c r="H54" s="18" t="n">
        <x:f>MAX(0,H22-'Assumptions'!$E$104)/1000000*'Assumptions'!$E$105</x:f>
        <x:v>0</x:v>
      </x:c>
      <x:c r="I54" s="18" t="n">
        <x:f>MAX(0,I22-'Assumptions'!$E$104)/1000000*'Assumptions'!$E$105</x:f>
        <x:v>0</x:v>
      </x:c>
      <x:c r="J54" s="18" t="n">
        <x:f>MAX(0,J22-'Assumptions'!$E$104)/1000000*'Assumptions'!$E$105</x:f>
        <x:v>0</x:v>
      </x:c>
      <x:c r="K54" s="18" t="n">
        <x:f>MAX(0,K22-'Assumptions'!$E$104)/1000000*'Assumptions'!$E$105</x:f>
        <x:v>0</x:v>
      </x:c>
      <x:c r="L54" s="18" t="n">
        <x:f>MAX(0,L22-'Assumptions'!$E$104)/1000000*'Assumptions'!$E$105</x:f>
        <x:v>0</x:v>
      </x:c>
      <x:c r="M54" s="18" t="n">
        <x:f>MAX(0,M22-'Assumptions'!$E$104)/1000000*'Assumptions'!$E$105</x:f>
        <x:v>0</x:v>
      </x:c>
      <x:c r="N54" s="18" t="n">
        <x:f>MAX(0,N22-'Assumptions'!$E$104)/1000000*'Assumptions'!$E$105</x:f>
        <x:v>0</x:v>
      </x:c>
      <x:c r="O54" s="18" t="n">
        <x:f>MAX(0,O22-'Assumptions'!$E$104)/1000000*'Assumptions'!$E$105</x:f>
        <x:v>0</x:v>
      </x:c>
      <x:c r="P54" s="18" t="n">
        <x:f>MAX(0,P22-'Assumptions'!$E$104)/1000000*'Assumptions'!$E$105</x:f>
        <x:v>0</x:v>
      </x:c>
      <x:c r="Q54" s="18" t="n">
        <x:f>MAX(0,Q22-'Assumptions'!$E$104)/1000000*'Assumptions'!$E$105</x:f>
        <x:v>0</x:v>
      </x:c>
    </x:row>
    <x:row r="55" ht="21" customHeight="1">
      <x:c r="A55" s="1"/>
      <x:c r="B55" s="1"/>
      <x:c r="C55" s="1" t="str">
        <x:v>SQLite storage</x:v>
      </x:c>
      <x:c r="D55" s="18" t="n">
        <x:f>SUM(F55:Q55)</x:f>
        <x:v>604.3080000000001</x:v>
      </x:c>
      <x:c r="E55" s="18"/>
      <x:c r="F55" s="18" t="n">
        <x:f>MAX(0,F23-'Assumptions'!$E$106)*'Assumptions'!$E$107</x:f>
        <x:v>8.24</x:v>
      </x:c>
      <x:c r="G55" s="18" t="n">
        <x:f>MAX(0,G23-'Assumptions'!$E$106)*'Assumptions'!$E$107</x:f>
        <x:v>12.860000000000003</x:v>
      </x:c>
      <x:c r="H55" s="18" t="n">
        <x:f>MAX(0,H23-'Assumptions'!$E$106)*'Assumptions'!$E$107</x:f>
        <x:v>19.328000000000003</x:v>
      </x:c>
      <x:c r="I55" s="18" t="n">
        <x:f>MAX(0,I23-'Assumptions'!$E$106)*'Assumptions'!$E$107</x:f>
        <x:v>26.720000000000006</x:v>
      </x:c>
      <x:c r="J55" s="18" t="n">
        <x:f>MAX(0,J23-'Assumptions'!$E$106)*'Assumptions'!$E$107</x:f>
        <x:v>35.96</x:v>
      </x:c>
      <x:c r="K55" s="18" t="n">
        <x:f>MAX(0,K23-'Assumptions'!$E$106)*'Assumptions'!$E$107</x:f>
        <x:v>45.20000000000001</x:v>
      </x:c>
      <x:c r="L55" s="18" t="n">
        <x:f>MAX(0,L23-'Assumptions'!$E$106)*'Assumptions'!$E$107</x:f>
        <x:v>54.44000000000001</x:v>
      </x:c>
      <x:c r="M55" s="18" t="n">
        <x:f>MAX(0,M23-'Assumptions'!$E$106)*'Assumptions'!$E$107</x:f>
        <x:v>63.68000000000001</x:v>
      </x:c>
      <x:c r="N55" s="18" t="n">
        <x:f>MAX(0,N23-'Assumptions'!$E$106)*'Assumptions'!$E$107</x:f>
        <x:v>72.92</x:v>
      </x:c>
      <x:c r="O55" s="18" t="n">
        <x:f>MAX(0,O23-'Assumptions'!$E$106)*'Assumptions'!$E$107</x:f>
        <x:v>82.16000000000001</x:v>
      </x:c>
      <x:c r="P55" s="18" t="n">
        <x:f>MAX(0,P23-'Assumptions'!$E$106)*'Assumptions'!$E$107</x:f>
        <x:v>91.40000000000002</x:v>
      </x:c>
      <x:c r="Q55" s="18" t="n">
        <x:f>MAX(0,Q23-'Assumptions'!$E$106)*'Assumptions'!$E$107</x:f>
        <x:v>91.40000000000002</x:v>
      </x:c>
    </x:row>
    <x:row r="56" ht="21" customHeight="1">
      <x:c r="A56" s="1"/>
      <x:c r="B56" s="1"/>
      <x:c r="C56" s="1" t="str">
        <x:v>R2 storage</x:v>
      </x:c>
      <x:c r="D56" s="18" t="n">
        <x:f>SUM(F56:Q56)</x:f>
        <x:v>218.39999999999998</x:v>
      </x:c>
      <x:c r="E56" s="18"/>
      <x:c r="F56" s="18" t="n">
        <x:f>ROUNDUP(MAX(0,F24-'Assumptions'!$E$108),0)*'Assumptions'!$E$109</x:f>
        <x:v>3.165</x:v>
      </x:c>
      <x:c r="G56" s="18" t="n">
        <x:f>ROUNDUP(MAX(0,G24-'Assumptions'!$E$108),0)*'Assumptions'!$E$109</x:f>
        <x:v>4.8</x:v>
      </x:c>
      <x:c r="H56" s="18" t="n">
        <x:f>ROUNDUP(MAX(0,H24-'Assumptions'!$E$108),0)*'Assumptions'!$E$109</x:f>
        <x:v>7.125</x:v>
      </x:c>
      <x:c r="I56" s="18" t="n">
        <x:f>ROUNDUP(MAX(0,I24-'Assumptions'!$E$108),0)*'Assumptions'!$E$109</x:f>
        <x:v>9.75</x:v>
      </x:c>
      <x:c r="J56" s="18" t="n">
        <x:f>ROUNDUP(MAX(0,J24-'Assumptions'!$E$108),0)*'Assumptions'!$E$109</x:f>
        <x:v>13.065</x:v>
      </x:c>
      <x:c r="K56" s="18" t="n">
        <x:f>ROUNDUP(MAX(0,K24-'Assumptions'!$E$108),0)*'Assumptions'!$E$109</x:f>
        <x:v>16.349999999999998</x:v>
      </x:c>
      <x:c r="L56" s="18" t="n">
        <x:f>ROUNDUP(MAX(0,L24-'Assumptions'!$E$108),0)*'Assumptions'!$E$109</x:f>
        <x:v>19.65</x:v>
      </x:c>
      <x:c r="M56" s="18" t="n">
        <x:f>ROUNDUP(MAX(0,M24-'Assumptions'!$E$108),0)*'Assumptions'!$E$109</x:f>
        <x:v>22.965</x:v>
      </x:c>
      <x:c r="N56" s="18" t="n">
        <x:f>ROUNDUP(MAX(0,N24-'Assumptions'!$E$108),0)*'Assumptions'!$E$109</x:f>
        <x:v>26.265</x:v>
      </x:c>
      <x:c r="O56" s="18" t="n">
        <x:f>ROUNDUP(MAX(0,O24-'Assumptions'!$E$108),0)*'Assumptions'!$E$109</x:f>
        <x:v>29.564999999999998</x:v>
      </x:c>
      <x:c r="P56" s="18" t="n">
        <x:f>ROUNDUP(MAX(0,P24-'Assumptions'!$E$108),0)*'Assumptions'!$E$109</x:f>
        <x:v>32.85</x:v>
      </x:c>
      <x:c r="Q56" s="18" t="n">
        <x:f>ROUNDUP(MAX(0,Q24-'Assumptions'!$E$108),0)*'Assumptions'!$E$109</x:f>
        <x:v>32.85</x:v>
      </x:c>
    </x:row>
    <x:row r="57" ht="21" customHeight="1">
      <x:c r="A57" s="1"/>
      <x:c r="B57" s="1"/>
      <x:c r="C57" s="1" t="str">
        <x:v>R2 class A</x:v>
      </x:c>
      <x:c r="D57" s="18" t="n">
        <x:f>SUM(F57:Q57)</x:f>
        <x:v>0</x:v>
      </x:c>
      <x:c r="E57" s="18"/>
      <x:c r="F57" s="18" t="n">
        <x:f>ROUNDUP(MAX(0,F25-'Assumptions'!$E$110)/1000000,0)*'Assumptions'!$E$111</x:f>
        <x:v>0</x:v>
      </x:c>
      <x:c r="G57" s="18" t="n">
        <x:f>ROUNDUP(MAX(0,G25-'Assumptions'!$E$110)/1000000,0)*'Assumptions'!$E$111</x:f>
        <x:v>0</x:v>
      </x:c>
      <x:c r="H57" s="18" t="n">
        <x:f>ROUNDUP(MAX(0,H25-'Assumptions'!$E$110)/1000000,0)*'Assumptions'!$E$111</x:f>
        <x:v>0</x:v>
      </x:c>
      <x:c r="I57" s="18" t="n">
        <x:f>ROUNDUP(MAX(0,I25-'Assumptions'!$E$110)/1000000,0)*'Assumptions'!$E$111</x:f>
        <x:v>0</x:v>
      </x:c>
      <x:c r="J57" s="18" t="n">
        <x:f>ROUNDUP(MAX(0,J25-'Assumptions'!$E$110)/1000000,0)*'Assumptions'!$E$111</x:f>
        <x:v>0</x:v>
      </x:c>
      <x:c r="K57" s="18" t="n">
        <x:f>ROUNDUP(MAX(0,K25-'Assumptions'!$E$110)/1000000,0)*'Assumptions'!$E$111</x:f>
        <x:v>0</x:v>
      </x:c>
      <x:c r="L57" s="18" t="n">
        <x:f>ROUNDUP(MAX(0,L25-'Assumptions'!$E$110)/1000000,0)*'Assumptions'!$E$111</x:f>
        <x:v>0</x:v>
      </x:c>
      <x:c r="M57" s="18" t="n">
        <x:f>ROUNDUP(MAX(0,M25-'Assumptions'!$E$110)/1000000,0)*'Assumptions'!$E$111</x:f>
        <x:v>0</x:v>
      </x:c>
      <x:c r="N57" s="18" t="n">
        <x:f>ROUNDUP(MAX(0,N25-'Assumptions'!$E$110)/1000000,0)*'Assumptions'!$E$111</x:f>
        <x:v>0</x:v>
      </x:c>
      <x:c r="O57" s="18" t="n">
        <x:f>ROUNDUP(MAX(0,O25-'Assumptions'!$E$110)/1000000,0)*'Assumptions'!$E$111</x:f>
        <x:v>0</x:v>
      </x:c>
      <x:c r="P57" s="18" t="n">
        <x:f>ROUNDUP(MAX(0,P25-'Assumptions'!$E$110)/1000000,0)*'Assumptions'!$E$111</x:f>
        <x:v>0</x:v>
      </x:c>
      <x:c r="Q57" s="18" t="n">
        <x:f>ROUNDUP(MAX(0,Q25-'Assumptions'!$E$110)/1000000,0)*'Assumptions'!$E$111</x:f>
        <x:v>0</x:v>
      </x:c>
    </x:row>
    <x:row r="58" ht="21" customHeight="1">
      <x:c r="A58" s="1"/>
      <x:c r="B58" s="1"/>
      <x:c r="C58" s="1" t="str">
        <x:v>R2 class B</x:v>
      </x:c>
      <x:c r="D58" s="18" t="n">
        <x:f>SUM(F58:Q58)</x:f>
        <x:v>0</x:v>
      </x:c>
      <x:c r="E58" s="18"/>
      <x:c r="F58" s="18" t="n">
        <x:f>ROUNDUP(MAX(0,F26-'Assumptions'!$E$112)/1000000,0)*'Assumptions'!$E$113</x:f>
        <x:v>0</x:v>
      </x:c>
      <x:c r="G58" s="18" t="n">
        <x:f>ROUNDUP(MAX(0,G26-'Assumptions'!$E$112)/1000000,0)*'Assumptions'!$E$113</x:f>
        <x:v>0</x:v>
      </x:c>
      <x:c r="H58" s="18" t="n">
        <x:f>ROUNDUP(MAX(0,H26-'Assumptions'!$E$112)/1000000,0)*'Assumptions'!$E$113</x:f>
        <x:v>0</x:v>
      </x:c>
      <x:c r="I58" s="18" t="n">
        <x:f>ROUNDUP(MAX(0,I26-'Assumptions'!$E$112)/1000000,0)*'Assumptions'!$E$113</x:f>
        <x:v>0</x:v>
      </x:c>
      <x:c r="J58" s="18" t="n">
        <x:f>ROUNDUP(MAX(0,J26-'Assumptions'!$E$112)/1000000,0)*'Assumptions'!$E$113</x:f>
        <x:v>0</x:v>
      </x:c>
      <x:c r="K58" s="18" t="n">
        <x:f>ROUNDUP(MAX(0,K26-'Assumptions'!$E$112)/1000000,0)*'Assumptions'!$E$113</x:f>
        <x:v>0</x:v>
      </x:c>
      <x:c r="L58" s="18" t="n">
        <x:f>ROUNDUP(MAX(0,L26-'Assumptions'!$E$112)/1000000,0)*'Assumptions'!$E$113</x:f>
        <x:v>0</x:v>
      </x:c>
      <x:c r="M58" s="18" t="n">
        <x:f>ROUNDUP(MAX(0,M26-'Assumptions'!$E$112)/1000000,0)*'Assumptions'!$E$113</x:f>
        <x:v>0</x:v>
      </x:c>
      <x:c r="N58" s="18" t="n">
        <x:f>ROUNDUP(MAX(0,N26-'Assumptions'!$E$112)/1000000,0)*'Assumptions'!$E$113</x:f>
        <x:v>0</x:v>
      </x:c>
      <x:c r="O58" s="18" t="n">
        <x:f>ROUNDUP(MAX(0,O26-'Assumptions'!$E$112)/1000000,0)*'Assumptions'!$E$113</x:f>
        <x:v>0</x:v>
      </x:c>
      <x:c r="P58" s="18" t="n">
        <x:f>ROUNDUP(MAX(0,P26-'Assumptions'!$E$112)/1000000,0)*'Assumptions'!$E$113</x:f>
        <x:v>0</x:v>
      </x:c>
      <x:c r="Q58" s="18" t="n">
        <x:f>ROUNDUP(MAX(0,Q26-'Assumptions'!$E$112)/1000000,0)*'Assumptions'!$E$113</x:f>
        <x:v>0</x:v>
      </x:c>
    </x:row>
    <x:row r="59" ht="21" customHeight="1">
      <x:c r="A59" s="1"/>
      <x:c r="B59" s="1"/>
      <x:c r="C59" s="1" t="str">
        <x:v>D1 reads</x:v>
      </x:c>
      <x:c r="D59" s="18" t="n">
        <x:f>SUM(F59:Q59)</x:f>
        <x:v>0</x:v>
      </x:c>
      <x:c r="E59" s="18"/>
      <x:c r="F59" s="18" t="n">
        <x:f>MAX(0,F27-'Assumptions'!$E$114)/1000000*'Assumptions'!$E$115</x:f>
        <x:v>0</x:v>
      </x:c>
      <x:c r="G59" s="18" t="n">
        <x:f>MAX(0,G27-'Assumptions'!$E$114)/1000000*'Assumptions'!$E$115</x:f>
        <x:v>0</x:v>
      </x:c>
      <x:c r="H59" s="18" t="n">
        <x:f>MAX(0,H27-'Assumptions'!$E$114)/1000000*'Assumptions'!$E$115</x:f>
        <x:v>0</x:v>
      </x:c>
      <x:c r="I59" s="18" t="n">
        <x:f>MAX(0,I27-'Assumptions'!$E$114)/1000000*'Assumptions'!$E$115</x:f>
        <x:v>0</x:v>
      </x:c>
      <x:c r="J59" s="18" t="n">
        <x:f>MAX(0,J27-'Assumptions'!$E$114)/1000000*'Assumptions'!$E$115</x:f>
        <x:v>0</x:v>
      </x:c>
      <x:c r="K59" s="18" t="n">
        <x:f>MAX(0,K27-'Assumptions'!$E$114)/1000000*'Assumptions'!$E$115</x:f>
        <x:v>0</x:v>
      </x:c>
      <x:c r="L59" s="18" t="n">
        <x:f>MAX(0,L27-'Assumptions'!$E$114)/1000000*'Assumptions'!$E$115</x:f>
        <x:v>0</x:v>
      </x:c>
      <x:c r="M59" s="18" t="n">
        <x:f>MAX(0,M27-'Assumptions'!$E$114)/1000000*'Assumptions'!$E$115</x:f>
        <x:v>0</x:v>
      </x:c>
      <x:c r="N59" s="18" t="n">
        <x:f>MAX(0,N27-'Assumptions'!$E$114)/1000000*'Assumptions'!$E$115</x:f>
        <x:v>0</x:v>
      </x:c>
      <x:c r="O59" s="18" t="n">
        <x:f>MAX(0,O27-'Assumptions'!$E$114)/1000000*'Assumptions'!$E$115</x:f>
        <x:v>0</x:v>
      </x:c>
      <x:c r="P59" s="18" t="n">
        <x:f>MAX(0,P27-'Assumptions'!$E$114)/1000000*'Assumptions'!$E$115</x:f>
        <x:v>0</x:v>
      </x:c>
      <x:c r="Q59" s="18" t="n">
        <x:f>MAX(0,Q27-'Assumptions'!$E$114)/1000000*'Assumptions'!$E$115</x:f>
        <x:v>0</x:v>
      </x:c>
    </x:row>
    <x:row r="60" ht="21" customHeight="1">
      <x:c r="A60" s="1"/>
      <x:c r="B60" s="1"/>
      <x:c r="C60" s="1" t="str">
        <x:v>D1 writes</x:v>
      </x:c>
      <x:c r="D60" s="18" t="n">
        <x:f>SUM(F60:Q60)</x:f>
        <x:v>0</x:v>
      </x:c>
      <x:c r="E60" s="18"/>
      <x:c r="F60" s="18" t="n">
        <x:f>MAX(0,F28-'Assumptions'!$E$116)/1000000*'Assumptions'!$E$117</x:f>
        <x:v>0</x:v>
      </x:c>
      <x:c r="G60" s="18" t="n">
        <x:f>MAX(0,G28-'Assumptions'!$E$116)/1000000*'Assumptions'!$E$117</x:f>
        <x:v>0</x:v>
      </x:c>
      <x:c r="H60" s="18" t="n">
        <x:f>MAX(0,H28-'Assumptions'!$E$116)/1000000*'Assumptions'!$E$117</x:f>
        <x:v>0</x:v>
      </x:c>
      <x:c r="I60" s="18" t="n">
        <x:f>MAX(0,I28-'Assumptions'!$E$116)/1000000*'Assumptions'!$E$117</x:f>
        <x:v>0</x:v>
      </x:c>
      <x:c r="J60" s="18" t="n">
        <x:f>MAX(0,J28-'Assumptions'!$E$116)/1000000*'Assumptions'!$E$117</x:f>
        <x:v>0</x:v>
      </x:c>
      <x:c r="K60" s="18" t="n">
        <x:f>MAX(0,K28-'Assumptions'!$E$116)/1000000*'Assumptions'!$E$117</x:f>
        <x:v>0</x:v>
      </x:c>
      <x:c r="L60" s="18" t="n">
        <x:f>MAX(0,L28-'Assumptions'!$E$116)/1000000*'Assumptions'!$E$117</x:f>
        <x:v>0</x:v>
      </x:c>
      <x:c r="M60" s="18" t="n">
        <x:f>MAX(0,M28-'Assumptions'!$E$116)/1000000*'Assumptions'!$E$117</x:f>
        <x:v>0</x:v>
      </x:c>
      <x:c r="N60" s="18" t="n">
        <x:f>MAX(0,N28-'Assumptions'!$E$116)/1000000*'Assumptions'!$E$117</x:f>
        <x:v>0</x:v>
      </x:c>
      <x:c r="O60" s="18" t="n">
        <x:f>MAX(0,O28-'Assumptions'!$E$116)/1000000*'Assumptions'!$E$117</x:f>
        <x:v>0</x:v>
      </x:c>
      <x:c r="P60" s="18" t="n">
        <x:f>MAX(0,P28-'Assumptions'!$E$116)/1000000*'Assumptions'!$E$117</x:f>
        <x:v>0</x:v>
      </x:c>
      <x:c r="Q60" s="18" t="n">
        <x:f>MAX(0,Q28-'Assumptions'!$E$116)/1000000*'Assumptions'!$E$117</x:f>
        <x:v>0</x:v>
      </x:c>
    </x:row>
    <x:row r="61" ht="21" customHeight="1">
      <x:c r="A61" s="1"/>
      <x:c r="B61" s="1"/>
      <x:c r="C61" s="1" t="str">
        <x:v>D1 storage</x:v>
      </x:c>
      <x:c r="D61" s="18" t="n">
        <x:f>SUM(F61:Q61)</x:f>
        <x:v>175.56</x:v>
      </x:c>
      <x:c r="E61" s="18"/>
      <x:c r="F61" s="18" t="n">
        <x:f>MAX(0,F29-'Assumptions'!$E$118)*'Assumptions'!$E$119</x:f>
        <x:v>0</x:v>
      </x:c>
      <x:c r="G61" s="18" t="n">
        <x:f>MAX(0,G29-'Assumptions'!$E$118)*'Assumptions'!$E$119</x:f>
        <x:v>1.2000000000000004</x:v>
      </x:c>
      <x:c r="H61" s="18" t="n">
        <x:f>MAX(0,H29-'Assumptions'!$E$118)*'Assumptions'!$E$119</x:f>
        <x:v>3.510000000000001</x:v>
      </x:c>
      <x:c r="I61" s="18" t="n">
        <x:f>MAX(0,I29-'Assumptions'!$E$118)*'Assumptions'!$E$119</x:f>
        <x:v>6.15</x:v>
      </x:c>
      <x:c r="J61" s="18" t="n">
        <x:f>MAX(0,J29-'Assumptions'!$E$118)*'Assumptions'!$E$119</x:f>
        <x:v>9.450000000000001</x:v>
      </x:c>
      <x:c r="K61" s="18" t="n">
        <x:f>MAX(0,K29-'Assumptions'!$E$118)*'Assumptions'!$E$119</x:f>
        <x:v>12.75</x:v>
      </x:c>
      <x:c r="L61" s="18" t="n">
        <x:f>MAX(0,L29-'Assumptions'!$E$118)*'Assumptions'!$E$119</x:f>
        <x:v>16.05</x:v>
      </x:c>
      <x:c r="M61" s="18" t="n">
        <x:f>MAX(0,M29-'Assumptions'!$E$118)*'Assumptions'!$E$119</x:f>
        <x:v>19.35</x:v>
      </x:c>
      <x:c r="N61" s="18" t="n">
        <x:f>MAX(0,N29-'Assumptions'!$E$118)*'Assumptions'!$E$119</x:f>
        <x:v>22.650000000000002</x:v>
      </x:c>
      <x:c r="O61" s="18" t="n">
        <x:f>MAX(0,O29-'Assumptions'!$E$118)*'Assumptions'!$E$119</x:f>
        <x:v>25.950000000000003</x:v>
      </x:c>
      <x:c r="P61" s="18" t="n">
        <x:f>MAX(0,P29-'Assumptions'!$E$118)*'Assumptions'!$E$119</x:f>
        <x:v>29.25</x:v>
      </x:c>
      <x:c r="Q61" s="18" t="n">
        <x:f>MAX(0,Q29-'Assumptions'!$E$118)*'Assumptions'!$E$119</x:f>
        <x:v>29.25</x:v>
      </x:c>
    </x:row>
    <x:row r="62" ht="21" customHeight="1">
      <x:c r="A62" s="1"/>
      <x:c r="B62" s="1"/>
      <x:c r="C62" s="1" t="str">
        <x:v>Logging</x:v>
      </x:c>
      <x:c r="D62" s="18" t="n">
        <x:f>SUM(F62:Q62)</x:f>
        <x:v>13.55794166666667</x:v>
      </x:c>
      <x:c r="E62" s="18"/>
      <x:c r="F62" s="18" t="n">
        <x:f>IF(F$6&lt;DATE(2026,12,1),MAX(0,F30-'Assumptions'!$E$120)/1000000*'Assumptions'!$E$121,MAX(0,F31-'Assumptions'!$E$122)*'Assumptions'!$E$123+MAX(0,F32-'Assumptions'!$E$124)*'Assumptions'!$E$125)</x:f>
        <x:v>0</x:v>
      </x:c>
      <x:c r="G62" s="18" t="n">
        <x:f>IF(G$6&lt;DATE(2026,12,1),MAX(0,G30-'Assumptions'!$E$120)/1000000*'Assumptions'!$E$121,MAX(0,G31-'Assumptions'!$E$122)*'Assumptions'!$E$123+MAX(0,G32-'Assumptions'!$E$124)*'Assumptions'!$E$125)</x:f>
        <x:v>0</x:v>
      </x:c>
      <x:c r="H62" s="18" t="n">
        <x:f>IF(H$6&lt;DATE(2026,12,1),MAX(0,H30-'Assumptions'!$E$120)/1000000*'Assumptions'!$E$121,MAX(0,H31-'Assumptions'!$E$122)*'Assumptions'!$E$123+MAX(0,H32-'Assumptions'!$E$124)*'Assumptions'!$E$125)</x:f>
        <x:v>0</x:v>
      </x:c>
      <x:c r="I62" s="18" t="n">
        <x:f>IF(I$6&lt;DATE(2026,12,1),MAX(0,I30-'Assumptions'!$E$120)/1000000*'Assumptions'!$E$121,MAX(0,I31-'Assumptions'!$E$122)*'Assumptions'!$E$123+MAX(0,I32-'Assumptions'!$E$124)*'Assumptions'!$E$125)</x:f>
        <x:v>0</x:v>
      </x:c>
      <x:c r="J62" s="18" t="n">
        <x:f>IF(J$6&lt;DATE(2026,12,1),MAX(0,J30-'Assumptions'!$E$120)/1000000*'Assumptions'!$E$121,MAX(0,J31-'Assumptions'!$E$122)*'Assumptions'!$E$123+MAX(0,J32-'Assumptions'!$E$124)*'Assumptions'!$E$125)</x:f>
        <x:v>0</x:v>
      </x:c>
      <x:c r="K62" s="18" t="n">
        <x:f>IF(K$6&lt;DATE(2026,12,1),MAX(0,K30-'Assumptions'!$E$120)/1000000*'Assumptions'!$E$121,MAX(0,K31-'Assumptions'!$E$122)*'Assumptions'!$E$123+MAX(0,K32-'Assumptions'!$E$124)*'Assumptions'!$E$125)</x:f>
        <x:v>0</x:v>
      </x:c>
      <x:c r="L62" s="18" t="n">
        <x:f>IF(L$6&lt;DATE(2026,12,1),MAX(0,L30-'Assumptions'!$E$120)/1000000*'Assumptions'!$E$121,MAX(0,L31-'Assumptions'!$E$122)*'Assumptions'!$E$123+MAX(0,L32-'Assumptions'!$E$124)*'Assumptions'!$E$125)</x:f>
        <x:v>0</x:v>
      </x:c>
      <x:c r="M62" s="18" t="n">
        <x:f>IF(M$6&lt;DATE(2026,12,1),MAX(0,M30-'Assumptions'!$E$120)/1000000*'Assumptions'!$E$121,MAX(0,M31-'Assumptions'!$E$122)*'Assumptions'!$E$123+MAX(0,M32-'Assumptions'!$E$124)*'Assumptions'!$E$125)</x:f>
        <x:v>0</x:v>
      </x:c>
      <x:c r="N62" s="18" t="n">
        <x:f>IF(N$6&lt;DATE(2026,12,1),MAX(0,N30-'Assumptions'!$E$120)/1000000*'Assumptions'!$E$121,MAX(0,N31-'Assumptions'!$E$122)*'Assumptions'!$E$123+MAX(0,N32-'Assumptions'!$E$124)*'Assumptions'!$E$125)</x:f>
        <x:v>0.8522666666666672</x:v>
      </x:c>
      <x:c r="O62" s="18" t="n">
        <x:f>IF(O$6&lt;DATE(2026,12,1),MAX(0,O30-'Assumptions'!$E$120)/1000000*'Assumptions'!$E$121,MAX(0,O31-'Assumptions'!$E$122)*'Assumptions'!$E$123+MAX(0,O32-'Assumptions'!$E$124)*'Assumptions'!$E$125)</x:f>
        <x:v>3.1704250000000003</x:v>
      </x:c>
      <x:c r="P62" s="18" t="n">
        <x:f>IF(P$6&lt;DATE(2026,12,1),MAX(0,P30-'Assumptions'!$E$120)/1000000*'Assumptions'!$E$121,MAX(0,P31-'Assumptions'!$E$122)*'Assumptions'!$E$123+MAX(0,P32-'Assumptions'!$E$124)*'Assumptions'!$E$125)</x:f>
        <x:v>5.04491666666667</x:v>
      </x:c>
      <x:c r="Q62" s="18" t="n">
        <x:f>IF(Q$6&lt;DATE(2026,12,1),MAX(0,Q30-'Assumptions'!$E$120)/1000000*'Assumptions'!$E$121,MAX(0,Q31-'Assumptions'!$E$122)*'Assumptions'!$E$123+MAX(0,Q32-'Assumptions'!$E$124)*'Assumptions'!$E$125)</x:f>
        <x:v>4.490333333333332</x:v>
      </x:c>
    </x:row>
    <x:row r="63" ht="21" customHeight="1">
      <x:c r="A63" s="1"/>
      <x:c r="B63" s="1"/>
      <x:c r="C63" s="1" t="str">
        <x:v>Container CPU</x:v>
      </x:c>
      <x:c r="D63" s="18" t="n">
        <x:f>SUM(F63:Q63)</x:f>
        <x:v>0</x:v>
      </x:c>
      <x:c r="E63" s="18"/>
      <x:c r="F63" s="18" t="n">
        <x:f>MAX(0,0-'Assumptions'!$E$126)*'Assumptions'!$E$127</x:f>
        <x:v>0</x:v>
      </x:c>
      <x:c r="G63" s="18" t="n">
        <x:f>MAX(0,0-'Assumptions'!$E$126)*'Assumptions'!$E$127</x:f>
        <x:v>0</x:v>
      </x:c>
      <x:c r="H63" s="18" t="n">
        <x:f>MAX(0,0-'Assumptions'!$E$126)*'Assumptions'!$E$127</x:f>
        <x:v>0</x:v>
      </x:c>
      <x:c r="I63" s="18" t="n">
        <x:f>MAX(0,0-'Assumptions'!$E$126)*'Assumptions'!$E$127</x:f>
        <x:v>0</x:v>
      </x:c>
      <x:c r="J63" s="18" t="n">
        <x:f>MAX(0,0-'Assumptions'!$E$126)*'Assumptions'!$E$127</x:f>
        <x:v>0</x:v>
      </x:c>
      <x:c r="K63" s="18" t="n">
        <x:f>MAX(0,0-'Assumptions'!$E$126)*'Assumptions'!$E$127</x:f>
        <x:v>0</x:v>
      </x:c>
      <x:c r="L63" s="18" t="n">
        <x:f>MAX(0,0-'Assumptions'!$E$126)*'Assumptions'!$E$127</x:f>
        <x:v>0</x:v>
      </x:c>
      <x:c r="M63" s="18" t="n">
        <x:f>MAX(0,0-'Assumptions'!$E$126)*'Assumptions'!$E$127</x:f>
        <x:v>0</x:v>
      </x:c>
      <x:c r="N63" s="18" t="n">
        <x:f>MAX(0,0-'Assumptions'!$E$126)*'Assumptions'!$E$127</x:f>
        <x:v>0</x:v>
      </x:c>
      <x:c r="O63" s="18" t="n">
        <x:f>MAX(0,0-'Assumptions'!$E$126)*'Assumptions'!$E$127</x:f>
        <x:v>0</x:v>
      </x:c>
      <x:c r="P63" s="18" t="n">
        <x:f>MAX(0,0-'Assumptions'!$E$126)*'Assumptions'!$E$127</x:f>
        <x:v>0</x:v>
      </x:c>
      <x:c r="Q63" s="18" t="n">
        <x:f>MAX(0,0-'Assumptions'!$E$126)*'Assumptions'!$E$127</x:f>
        <x:v>0</x:v>
      </x:c>
    </x:row>
    <x:row r="64" ht="21" customHeight="1">
      <x:c r="A64" s="1"/>
      <x:c r="B64" s="1"/>
      <x:c r="C64" s="1" t="str">
        <x:v>Container memory</x:v>
      </x:c>
      <x:c r="D64" s="18" t="n">
        <x:f>SUM(F64:Q64)</x:f>
        <x:v>0</x:v>
      </x:c>
      <x:c r="E64" s="18"/>
      <x:c r="F64" s="18" t="n">
        <x:f>MAX(0,0-'Assumptions'!$E$128)*'Assumptions'!$E$129</x:f>
        <x:v>0</x:v>
      </x:c>
      <x:c r="G64" s="18" t="n">
        <x:f>MAX(0,0-'Assumptions'!$E$128)*'Assumptions'!$E$129</x:f>
        <x:v>0</x:v>
      </x:c>
      <x:c r="H64" s="18" t="n">
        <x:f>MAX(0,0-'Assumptions'!$E$128)*'Assumptions'!$E$129</x:f>
        <x:v>0</x:v>
      </x:c>
      <x:c r="I64" s="18" t="n">
        <x:f>MAX(0,0-'Assumptions'!$E$128)*'Assumptions'!$E$129</x:f>
        <x:v>0</x:v>
      </x:c>
      <x:c r="J64" s="18" t="n">
        <x:f>MAX(0,0-'Assumptions'!$E$128)*'Assumptions'!$E$129</x:f>
        <x:v>0</x:v>
      </x:c>
      <x:c r="K64" s="18" t="n">
        <x:f>MAX(0,0-'Assumptions'!$E$128)*'Assumptions'!$E$129</x:f>
        <x:v>0</x:v>
      </x:c>
      <x:c r="L64" s="18" t="n">
        <x:f>MAX(0,0-'Assumptions'!$E$128)*'Assumptions'!$E$129</x:f>
        <x:v>0</x:v>
      </x:c>
      <x:c r="M64" s="18" t="n">
        <x:f>MAX(0,0-'Assumptions'!$E$128)*'Assumptions'!$E$129</x:f>
        <x:v>0</x:v>
      </x:c>
      <x:c r="N64" s="18" t="n">
        <x:f>MAX(0,0-'Assumptions'!$E$128)*'Assumptions'!$E$129</x:f>
        <x:v>0</x:v>
      </x:c>
      <x:c r="O64" s="18" t="n">
        <x:f>MAX(0,0-'Assumptions'!$E$128)*'Assumptions'!$E$129</x:f>
        <x:v>0</x:v>
      </x:c>
      <x:c r="P64" s="18" t="n">
        <x:f>MAX(0,0-'Assumptions'!$E$128)*'Assumptions'!$E$129</x:f>
        <x:v>0</x:v>
      </x:c>
      <x:c r="Q64" s="18" t="n">
        <x:f>MAX(0,0-'Assumptions'!$E$128)*'Assumptions'!$E$129</x:f>
        <x:v>0</x:v>
      </x:c>
    </x:row>
    <x:row r="65" ht="21" customHeight="1">
      <x:c r="A65" s="1"/>
      <x:c r="B65" s="1"/>
      <x:c r="C65" s="1" t="str">
        <x:v>Container disk</x:v>
      </x:c>
      <x:c r="D65" s="18" t="n">
        <x:f>SUM(F65:Q65)</x:f>
        <x:v>0</x:v>
      </x:c>
      <x:c r="E65" s="18"/>
      <x:c r="F65" s="18" t="n">
        <x:f>MAX(0,0-'Assumptions'!$E$130)*'Assumptions'!$E$131</x:f>
        <x:v>0</x:v>
      </x:c>
      <x:c r="G65" s="18" t="n">
        <x:f>MAX(0,0-'Assumptions'!$E$130)*'Assumptions'!$E$131</x:f>
        <x:v>0</x:v>
      </x:c>
      <x:c r="H65" s="18" t="n">
        <x:f>MAX(0,0-'Assumptions'!$E$130)*'Assumptions'!$E$131</x:f>
        <x:v>0</x:v>
      </x:c>
      <x:c r="I65" s="18" t="n">
        <x:f>MAX(0,0-'Assumptions'!$E$130)*'Assumptions'!$E$131</x:f>
        <x:v>0</x:v>
      </x:c>
      <x:c r="J65" s="18" t="n">
        <x:f>MAX(0,0-'Assumptions'!$E$130)*'Assumptions'!$E$131</x:f>
        <x:v>0</x:v>
      </x:c>
      <x:c r="K65" s="18" t="n">
        <x:f>MAX(0,0-'Assumptions'!$E$130)*'Assumptions'!$E$131</x:f>
        <x:v>0</x:v>
      </x:c>
      <x:c r="L65" s="18" t="n">
        <x:f>MAX(0,0-'Assumptions'!$E$130)*'Assumptions'!$E$131</x:f>
        <x:v>0</x:v>
      </x:c>
      <x:c r="M65" s="18" t="n">
        <x:f>MAX(0,0-'Assumptions'!$E$130)*'Assumptions'!$E$131</x:f>
        <x:v>0</x:v>
      </x:c>
      <x:c r="N65" s="18" t="n">
        <x:f>MAX(0,0-'Assumptions'!$E$130)*'Assumptions'!$E$131</x:f>
        <x:v>0</x:v>
      </x:c>
      <x:c r="O65" s="18" t="n">
        <x:f>MAX(0,0-'Assumptions'!$E$130)*'Assumptions'!$E$131</x:f>
        <x:v>0</x:v>
      </x:c>
      <x:c r="P65" s="18" t="n">
        <x:f>MAX(0,0-'Assumptions'!$E$130)*'Assumptions'!$E$131</x:f>
        <x:v>0</x:v>
      </x:c>
      <x:c r="Q65" s="18" t="n">
        <x:f>MAX(0,0-'Assumptions'!$E$130)*'Assumptions'!$E$131</x:f>
        <x:v>0</x:v>
      </x:c>
    </x:row>
    <x:row r="66" ht="21" customHeight="1">
      <x:c r="A66" s="1"/>
      <x:c r="B66" s="1"/>
      <x:c r="C66" s="1" t="str">
        <x:v>Container egress</x:v>
      </x:c>
      <x:c r="D66" s="18" t="n">
        <x:f>SUM(F66:Q66)</x:f>
        <x:v>0</x:v>
      </x:c>
      <x:c r="E66" s="18"/>
      <x:c r="F66" s="18" t="n">
        <x:f>MAX(0,0-'Assumptions'!$E$132)*'Assumptions'!$E$133</x:f>
        <x:v>0</x:v>
      </x:c>
      <x:c r="G66" s="18" t="n">
        <x:f>MAX(0,0-'Assumptions'!$E$132)*'Assumptions'!$E$133</x:f>
        <x:v>0</x:v>
      </x:c>
      <x:c r="H66" s="18" t="n">
        <x:f>MAX(0,0-'Assumptions'!$E$132)*'Assumptions'!$E$133</x:f>
        <x:v>0</x:v>
      </x:c>
      <x:c r="I66" s="18" t="n">
        <x:f>MAX(0,0-'Assumptions'!$E$132)*'Assumptions'!$E$133</x:f>
        <x:v>0</x:v>
      </x:c>
      <x:c r="J66" s="18" t="n">
        <x:f>MAX(0,0-'Assumptions'!$E$132)*'Assumptions'!$E$133</x:f>
        <x:v>0</x:v>
      </x:c>
      <x:c r="K66" s="18" t="n">
        <x:f>MAX(0,0-'Assumptions'!$E$132)*'Assumptions'!$E$133</x:f>
        <x:v>0</x:v>
      </x:c>
      <x:c r="L66" s="18" t="n">
        <x:f>MAX(0,0-'Assumptions'!$E$132)*'Assumptions'!$E$133</x:f>
        <x:v>0</x:v>
      </x:c>
      <x:c r="M66" s="18" t="n">
        <x:f>MAX(0,0-'Assumptions'!$E$132)*'Assumptions'!$E$133</x:f>
        <x:v>0</x:v>
      </x:c>
      <x:c r="N66" s="18" t="n">
        <x:f>MAX(0,0-'Assumptions'!$E$132)*'Assumptions'!$E$133</x:f>
        <x:v>0</x:v>
      </x:c>
      <x:c r="O66" s="18" t="n">
        <x:f>MAX(0,0-'Assumptions'!$E$132)*'Assumptions'!$E$133</x:f>
        <x:v>0</x:v>
      </x:c>
      <x:c r="P66" s="18" t="n">
        <x:f>MAX(0,0-'Assumptions'!$E$132)*'Assumptions'!$E$133</x:f>
        <x:v>0</x:v>
      </x:c>
      <x:c r="Q66" s="18" t="n">
        <x:f>MAX(0,0-'Assumptions'!$E$132)*'Assumptions'!$E$133</x:f>
        <x:v>0</x:v>
      </x:c>
    </x:row>
    <x:row r="67" ht="21" customHeight="1">
      <x:c r="A67" s="1"/>
      <x:c r="B67" s="1"/>
      <x:c r="C67" s="1" t="str">
        <x:v>Free service Cloudflare total (USD)</x:v>
      </x:c>
      <x:c r="D67" s="18" t="n">
        <x:f>SUM(F67:Q67)</x:f>
        <x:v>3021.677008333334</x:v>
      </x:c>
      <x:c r="E67" s="18"/>
      <x:c r="F67" s="18" t="n">
        <x:f>SUM(F48:F66)+'Assumptions'!$E$29</x:f>
        <x:v>47.62766666666667</x:v>
      </x:c>
      <x:c r="G67" s="18" t="n">
        <x:f>SUM(G48:G66)+'Assumptions'!$E$29</x:f>
        <x:v>68.625</x:v>
      </x:c>
      <x:c r="H67" s="18" t="n">
        <x:f>SUM(H48:H66)+'Assumptions'!$E$29</x:f>
        <x:v>98.27106666666667</x:v>
      </x:c>
      <x:c r="I67" s="18" t="n">
        <x:f>SUM(I48:I66)+'Assumptions'!$E$29</x:f>
        <x:v>143.281</x:v>
      </x:c>
      <x:c r="J67" s="18" t="n">
        <x:f>SUM(J48:J66)+'Assumptions'!$E$29</x:f>
        <x:v>174.31566666666666</x:v>
      </x:c>
      <x:c r="K67" s="18" t="n">
        <x:f>SUM(K48:K66)+'Assumptions'!$E$29</x:f>
        <x:v>224.36833333333334</x:v>
      </x:c>
      <x:c r="L67" s="18" t="n">
        <x:f>SUM(L48:L66)+'Assumptions'!$E$29</x:f>
        <x:v>272.65000000000003</x:v>
      </x:c>
      <x:c r="M67" s="18" t="n">
        <x:f>SUM(M48:M66)+'Assumptions'!$E$29</x:f>
        <x:v>318.1206666666667</x:v>
      </x:c>
      <x:c r="N67" s="18" t="n">
        <x:f>SUM(N48:N66)+'Assumptions'!$E$29</x:f>
        <x:v>353.11726666666664</x:v>
      </x:c>
      <x:c r="O67" s="18" t="n">
        <x:f>SUM(O48:O66)+'Assumptions'!$E$29</x:f>
        <x:v>415.028425</x:v>
      </x:c>
      <x:c r="P67" s="18" t="n">
        <x:f>SUM(P48:P66)+'Assumptions'!$E$29</x:f>
        <x:v>457.4315833333334</x:v>
      </x:c>
      <x:c r="Q67" s="18" t="n">
        <x:f>SUM(Q48:Q66)+'Assumptions'!$E$29</x:f>
        <x:v>448.84033333333343</x:v>
      </x:c>
    </x:row>
    <x:row r="68" ht="24" customHeight="1">
      <x:c r="A68" s="1"/>
      <x:c r="B68" s="1"/>
      <x:c r="C68" s="17" t="str">
        <x:v>Combined free service and future Agents (USD)</x:v>
      </x:c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</x:row>
    <x:row r="69" ht="21" customHeight="1">
      <x:c r="A69" s="1"/>
      <x:c r="B69" s="1"/>
      <x:c r="C69" s="1" t="str">
        <x:v>Workers shared monthly minimum</x:v>
      </x:c>
      <x:c r="D69" s="18" t="n">
        <x:f>SUM(F69:Q69)</x:f>
        <x:v>60</x:v>
      </x:c>
      <x:c r="E69" s="18"/>
      <x:c r="F69" s="18" t="n">
        <x:f>'Assumptions'!$E$93</x:f>
        <x:v>5</x:v>
      </x:c>
      <x:c r="G69" s="18" t="n">
        <x:f>'Assumptions'!$E$93</x:f>
        <x:v>5</x:v>
      </x:c>
      <x:c r="H69" s="18" t="n">
        <x:f>'Assumptions'!$E$93</x:f>
        <x:v>5</x:v>
      </x:c>
      <x:c r="I69" s="18" t="n">
        <x:f>'Assumptions'!$E$93</x:f>
        <x:v>5</x:v>
      </x:c>
      <x:c r="J69" s="18" t="n">
        <x:f>'Assumptions'!$E$93</x:f>
        <x:v>5</x:v>
      </x:c>
      <x:c r="K69" s="18" t="n">
        <x:f>'Assumptions'!$E$93</x:f>
        <x:v>5</x:v>
      </x:c>
      <x:c r="L69" s="18" t="n">
        <x:f>'Assumptions'!$E$93</x:f>
        <x:v>5</x:v>
      </x:c>
      <x:c r="M69" s="18" t="n">
        <x:f>'Assumptions'!$E$93</x:f>
        <x:v>5</x:v>
      </x:c>
      <x:c r="N69" s="18" t="n">
        <x:f>'Assumptions'!$E$93</x:f>
        <x:v>5</x:v>
      </x:c>
      <x:c r="O69" s="18" t="n">
        <x:f>'Assumptions'!$E$93</x:f>
        <x:v>5</x:v>
      </x:c>
      <x:c r="P69" s="18" t="n">
        <x:f>'Assumptions'!$E$93</x:f>
        <x:v>5</x:v>
      </x:c>
      <x:c r="Q69" s="18" t="n">
        <x:f>'Assumptions'!$E$93</x:f>
        <x:v>5</x:v>
      </x:c>
    </x:row>
    <x:row r="70" ht="21" customHeight="1">
      <x:c r="A70" s="1"/>
      <x:c r="B70" s="1"/>
      <x:c r="C70" s="1" t="str">
        <x:v>Worker requests</x:v>
      </x:c>
      <x:c r="D70" s="18" t="n">
        <x:f>SUM(F70:Q70)</x:f>
        <x:v>638.5508</x:v>
      </x:c>
      <x:c r="E70" s="18"/>
      <x:c r="F70" s="18" t="n">
        <x:f>MAX(0,(F17+F34)-'Assumptions'!$E$94)/1000000*'Assumptions'!$E$95</x:f>
        <x:v>6.316999999999999</x:v>
      </x:c>
      <x:c r="G70" s="18" t="n">
        <x:f>MAX(0,(G17+G34)-'Assumptions'!$E$94)/1000000*'Assumptions'!$E$95</x:f>
        <x:v>11.973750000000003</x:v>
      </x:c>
      <x:c r="H70" s="18" t="n">
        <x:f>MAX(0,(H17+H34)-'Assumptions'!$E$94)/1000000*'Assumptions'!$E$95</x:f>
        <x:v>19.69355</x:v>
      </x:c>
      <x:c r="I70" s="18" t="n">
        <x:f>MAX(0,(I17+I34)-'Assumptions'!$E$94)/1000000*'Assumptions'!$E$95</x:f>
        <x:v>27.945750000000004</x:v>
      </x:c>
      <x:c r="J70" s="18" t="n">
        <x:f>MAX(0,(J17+J34)-'Assumptions'!$E$94)/1000000*'Assumptions'!$E$95</x:f>
        <x:v>34.267999999999994</x:v>
      </x:c>
      <x:c r="K70" s="18" t="n">
        <x:f>MAX(0,(K17+K34)-'Assumptions'!$E$94)/1000000*'Assumptions'!$E$95</x:f>
        <x:v>48.57625</x:v>
      </x:c>
      <x:c r="L70" s="18" t="n">
        <x:f>MAX(0,(L17+L34)-'Assumptions'!$E$94)/1000000*'Assumptions'!$E$95</x:f>
        <x:v>56.89500000000001</x:v>
      </x:c>
      <x:c r="M70" s="18" t="n">
        <x:f>MAX(0,(M17+M34)-'Assumptions'!$E$94)/1000000*'Assumptions'!$E$95</x:f>
        <x:v>69.20675</x:v>
      </x:c>
      <x:c r="N70" s="18" t="n">
        <x:f>MAX(0,(N17+N34)-'Assumptions'!$E$94)/1000000*'Assumptions'!$E$95</x:f>
        <x:v>76.86</x:v>
      </x:c>
      <x:c r="O70" s="18" t="n">
        <x:f>MAX(0,(O17+O34)-'Assumptions'!$E$94)/1000000*'Assumptions'!$E$95</x:f>
        <x:v>89.83725</x:v>
      </x:c>
      <x:c r="P70" s="18" t="n">
        <x:f>MAX(0,(P17+P34)-'Assumptions'!$E$94)/1000000*'Assumptions'!$E$95</x:f>
        <x:v>100.1525</x:v>
      </x:c>
      <x:c r="Q70" s="18" t="n">
        <x:f>MAX(0,(Q17+Q34)-'Assumptions'!$E$94)/1000000*'Assumptions'!$E$95</x:f>
        <x:v>96.825</x:v>
      </x:c>
    </x:row>
    <x:row r="71" ht="21" customHeight="1">
      <x:c r="A71" s="1"/>
      <x:c r="B71" s="1"/>
      <x:c r="C71" s="1" t="str">
        <x:v>Worker CPU</x:v>
      </x:c>
      <x:c r="D71" s="18" t="n">
        <x:f>SUM(F71:Q71)</x:f>
        <x:v>217.65026666666665</x:v>
      </x:c>
      <x:c r="E71" s="18"/>
      <x:c r="F71" s="18" t="n">
        <x:f>MAX(0,(F18+F35)-'Assumptions'!$E$96)/1000000*'Assumptions'!$E$97</x:f>
        <x:v>2.5056666666666665</x:v>
      </x:c>
      <x:c r="G71" s="18" t="n">
        <x:f>MAX(0,(G18+G35)-'Assumptions'!$E$96)/1000000*'Assumptions'!$E$97</x:f>
        <x:v>4.39125</x:v>
      </x:c>
      <x:c r="H71" s="18" t="n">
        <x:f>MAX(0,(H18+H35)-'Assumptions'!$E$96)/1000000*'Assumptions'!$E$97</x:f>
        <x:v>6.964516666666667</x:v>
      </x:c>
      <x:c r="I71" s="18" t="n">
        <x:f>MAX(0,(I18+I35)-'Assumptions'!$E$96)/1000000*'Assumptions'!$E$97</x:f>
        <x:v>9.715250000000001</x:v>
      </x:c>
      <x:c r="J71" s="18" t="n">
        <x:f>MAX(0,(J18+J35)-'Assumptions'!$E$96)/1000000*'Assumptions'!$E$97</x:f>
        <x:v>11.822666666666665</x:v>
      </x:c>
      <x:c r="K71" s="18" t="n">
        <x:f>MAX(0,(K18+K35)-'Assumptions'!$E$96)/1000000*'Assumptions'!$E$97</x:f>
        <x:v>16.592083333333335</x:v>
      </x:c>
      <x:c r="L71" s="18" t="n">
        <x:f>MAX(0,(L18+L35)-'Assumptions'!$E$96)/1000000*'Assumptions'!$E$97</x:f>
        <x:v>19.365000000000002</x:v>
      </x:c>
      <x:c r="M71" s="18" t="n">
        <x:f>MAX(0,(M18+M35)-'Assumptions'!$E$96)/1000000*'Assumptions'!$E$97</x:f>
        <x:v>23.468916666666665</x:v>
      </x:c>
      <x:c r="N71" s="18" t="n">
        <x:f>MAX(0,(N18+N35)-'Assumptions'!$E$96)/1000000*'Assumptions'!$E$97</x:f>
        <x:v>26.02</x:v>
      </x:c>
      <x:c r="O71" s="18" t="n">
        <x:f>MAX(0,(O18+O35)-'Assumptions'!$E$96)/1000000*'Assumptions'!$E$97</x:f>
        <x:v>30.34575</x:v>
      </x:c>
      <x:c r="P71" s="18" t="n">
        <x:f>MAX(0,(P18+P35)-'Assumptions'!$E$96)/1000000*'Assumptions'!$E$97</x:f>
        <x:v>33.78416666666667</x:v>
      </x:c>
      <x:c r="Q71" s="18" t="n">
        <x:f>MAX(0,(Q18+Q35)-'Assumptions'!$E$96)/1000000*'Assumptions'!$E$97</x:f>
        <x:v>32.675</x:v>
      </x:c>
    </x:row>
    <x:row r="72" ht="21" customHeight="1">
      <x:c r="A72" s="1"/>
      <x:c r="B72" s="1"/>
      <x:c r="C72" s="1" t="str">
        <x:v>Backend-object requests</x:v>
      </x:c>
      <x:c r="D72" s="18" t="n">
        <x:f>SUM(F72:Q72)</x:f>
        <x:v>718.6500000000001</x:v>
      </x:c>
      <x:c r="E72" s="18"/>
      <x:c r="F72" s="18" t="n">
        <x:f>ROUNDUP(MAX(0,(F19+F36)-'Assumptions'!$E$98)/1000000,0)*'Assumptions'!$E$99</x:f>
        <x:v>9.9</x:v>
      </x:c>
      <x:c r="G72" s="18" t="n">
        <x:f>ROUNDUP(MAX(0,(G19+G36)-'Assumptions'!$E$98)/1000000,0)*'Assumptions'!$E$99</x:f>
        <x:v>15.899999999999999</x:v>
      </x:c>
      <x:c r="H72" s="18" t="n">
        <x:f>ROUNDUP(MAX(0,(H19+H36)-'Assumptions'!$E$98)/1000000,0)*'Assumptions'!$E$99</x:f>
        <x:v>24.15</x:v>
      </x:c>
      <x:c r="I72" s="18" t="n">
        <x:f>ROUNDUP(MAX(0,(I19+I36)-'Assumptions'!$E$98)/1000000,0)*'Assumptions'!$E$99</x:f>
        <x:v>33</x:v>
      </x:c>
      <x:c r="J72" s="18" t="n">
        <x:f>ROUNDUP(MAX(0,(J19+J36)-'Assumptions'!$E$98)/1000000,0)*'Assumptions'!$E$99</x:f>
        <x:v>39.75</x:v>
      </x:c>
      <x:c r="K72" s="18" t="n">
        <x:f>ROUNDUP(MAX(0,(K19+K36)-'Assumptions'!$E$98)/1000000,0)*'Assumptions'!$E$99</x:f>
        <x:v>54.9</x:v>
      </x:c>
      <x:c r="L72" s="18" t="n">
        <x:f>ROUNDUP(MAX(0,(L19+L36)-'Assumptions'!$E$98)/1000000,0)*'Assumptions'!$E$99</x:f>
        <x:v>63.75</x:v>
      </x:c>
      <x:c r="M72" s="18" t="n">
        <x:f>ROUNDUP(MAX(0,(M19+M36)-'Assumptions'!$E$98)/1000000,0)*'Assumptions'!$E$99</x:f>
        <x:v>76.95</x:v>
      </x:c>
      <x:c r="N72" s="18" t="n">
        <x:f>ROUNDUP(MAX(0,(N19+N36)-'Assumptions'!$E$98)/1000000,0)*'Assumptions'!$E$99</x:f>
        <x:v>85.05</x:v>
      </x:c>
      <x:c r="O72" s="18" t="n">
        <x:f>ROUNDUP(MAX(0,(O19+O36)-'Assumptions'!$E$98)/1000000,0)*'Assumptions'!$E$99</x:f>
        <x:v>99</x:v>
      </x:c>
      <x:c r="P72" s="18" t="n">
        <x:f>ROUNDUP(MAX(0,(P19+P36)-'Assumptions'!$E$98)/1000000,0)*'Assumptions'!$E$99</x:f>
        <x:v>109.95</x:v>
      </x:c>
      <x:c r="Q72" s="18" t="n">
        <x:f>ROUNDUP(MAX(0,(Q19+Q36)-'Assumptions'!$E$98)/1000000,0)*'Assumptions'!$E$99</x:f>
        <x:v>106.35</x:v>
      </x:c>
    </x:row>
    <x:row r="73" ht="21" customHeight="1">
      <x:c r="A73" s="1"/>
      <x:c r="B73" s="1"/>
      <x:c r="C73" s="1" t="str">
        <x:v>Backend-object duration</x:v>
      </x:c>
      <x:c r="D73" s="18" t="n">
        <x:f>SUM(F73:Q73)</x:f>
        <x:v>375</x:v>
      </x:c>
      <x:c r="E73" s="18"/>
      <x:c r="F73" s="18" t="n">
        <x:f>ROUNDUP(MAX(0,(F20+F37)-'Assumptions'!$E$100)/1000000,0)*'Assumptions'!$E$101</x:f>
        <x:v>12.5</x:v>
      </x:c>
      <x:c r="G73" s="18" t="n">
        <x:f>ROUNDUP(MAX(0,(G20+G37)-'Assumptions'!$E$100)/1000000,0)*'Assumptions'!$E$101</x:f>
        <x:v>12.5</x:v>
      </x:c>
      <x:c r="H73" s="18" t="n">
        <x:f>ROUNDUP(MAX(0,(H20+H37)-'Assumptions'!$E$100)/1000000,0)*'Assumptions'!$E$101</x:f>
        <x:v>12.5</x:v>
      </x:c>
      <x:c r="I73" s="18" t="n">
        <x:f>ROUNDUP(MAX(0,(I20+I37)-'Assumptions'!$E$100)/1000000,0)*'Assumptions'!$E$101</x:f>
        <x:v>25</x:v>
      </x:c>
      <x:c r="J73" s="18" t="n">
        <x:f>ROUNDUP(MAX(0,(J20+J37)-'Assumptions'!$E$100)/1000000,0)*'Assumptions'!$E$101</x:f>
        <x:v>25</x:v>
      </x:c>
      <x:c r="K73" s="18" t="n">
        <x:f>ROUNDUP(MAX(0,(K20+K37)-'Assumptions'!$E$100)/1000000,0)*'Assumptions'!$E$101</x:f>
        <x:v>25</x:v>
      </x:c>
      <x:c r="L73" s="18" t="n">
        <x:f>ROUNDUP(MAX(0,(L20+L37)-'Assumptions'!$E$100)/1000000,0)*'Assumptions'!$E$101</x:f>
        <x:v>37.5</x:v>
      </x:c>
      <x:c r="M73" s="18" t="n">
        <x:f>ROUNDUP(MAX(0,(M20+M37)-'Assumptions'!$E$100)/1000000,0)*'Assumptions'!$E$101</x:f>
        <x:v>37.5</x:v>
      </x:c>
      <x:c r="N73" s="18" t="n">
        <x:f>ROUNDUP(MAX(0,(N20+N37)-'Assumptions'!$E$100)/1000000,0)*'Assumptions'!$E$101</x:f>
        <x:v>37.5</x:v>
      </x:c>
      <x:c r="O73" s="18" t="n">
        <x:f>ROUNDUP(MAX(0,(O20+O37)-'Assumptions'!$E$100)/1000000,0)*'Assumptions'!$E$101</x:f>
        <x:v>50</x:v>
      </x:c>
      <x:c r="P73" s="18" t="n">
        <x:f>ROUNDUP(MAX(0,(P20+P37)-'Assumptions'!$E$100)/1000000,0)*'Assumptions'!$E$101</x:f>
        <x:v>50</x:v>
      </x:c>
      <x:c r="Q73" s="18" t="n">
        <x:f>ROUNDUP(MAX(0,(Q20+Q37)-'Assumptions'!$E$100)/1000000,0)*'Assumptions'!$E$101</x:f>
        <x:v>50</x:v>
      </x:c>
    </x:row>
    <x:row r="74" ht="21" customHeight="1">
      <x:c r="A74" s="1"/>
      <x:c r="B74" s="1"/>
      <x:c r="C74" s="1" t="str">
        <x:v>SQLite reads</x:v>
      </x:c>
      <x:c r="D74" s="18" t="n">
        <x:f>SUM(F74:Q74)</x:f>
        <x:v>0</x:v>
      </x:c>
      <x:c r="E74" s="18"/>
      <x:c r="F74" s="18" t="n">
        <x:f>MAX(0,(F21+F38)-'Assumptions'!$E$102)/1000000*'Assumptions'!$E$103</x:f>
        <x:v>0</x:v>
      </x:c>
      <x:c r="G74" s="18" t="n">
        <x:f>MAX(0,(G21+G38)-'Assumptions'!$E$102)/1000000*'Assumptions'!$E$103</x:f>
        <x:v>0</x:v>
      </x:c>
      <x:c r="H74" s="18" t="n">
        <x:f>MAX(0,(H21+H38)-'Assumptions'!$E$102)/1000000*'Assumptions'!$E$103</x:f>
        <x:v>0</x:v>
      </x:c>
      <x:c r="I74" s="18" t="n">
        <x:f>MAX(0,(I21+I38)-'Assumptions'!$E$102)/1000000*'Assumptions'!$E$103</x:f>
        <x:v>0</x:v>
      </x:c>
      <x:c r="J74" s="18" t="n">
        <x:f>MAX(0,(J21+J38)-'Assumptions'!$E$102)/1000000*'Assumptions'!$E$103</x:f>
        <x:v>0</x:v>
      </x:c>
      <x:c r="K74" s="18" t="n">
        <x:f>MAX(0,(K21+K38)-'Assumptions'!$E$102)/1000000*'Assumptions'!$E$103</x:f>
        <x:v>0</x:v>
      </x:c>
      <x:c r="L74" s="18" t="n">
        <x:f>MAX(0,(L21+L38)-'Assumptions'!$E$102)/1000000*'Assumptions'!$E$103</x:f>
        <x:v>0</x:v>
      </x:c>
      <x:c r="M74" s="18" t="n">
        <x:f>MAX(0,(M21+M38)-'Assumptions'!$E$102)/1000000*'Assumptions'!$E$103</x:f>
        <x:v>0</x:v>
      </x:c>
      <x:c r="N74" s="18" t="n">
        <x:f>MAX(0,(N21+N38)-'Assumptions'!$E$102)/1000000*'Assumptions'!$E$103</x:f>
        <x:v>0</x:v>
      </x:c>
      <x:c r="O74" s="18" t="n">
        <x:f>MAX(0,(O21+O38)-'Assumptions'!$E$102)/1000000*'Assumptions'!$E$103</x:f>
        <x:v>0</x:v>
      </x:c>
      <x:c r="P74" s="18" t="n">
        <x:f>MAX(0,(P21+P38)-'Assumptions'!$E$102)/1000000*'Assumptions'!$E$103</x:f>
        <x:v>0</x:v>
      </x:c>
      <x:c r="Q74" s="18" t="n">
        <x:f>MAX(0,(Q21+Q38)-'Assumptions'!$E$102)/1000000*'Assumptions'!$E$103</x:f>
        <x:v>0</x:v>
      </x:c>
    </x:row>
    <x:row r="75" ht="21" customHeight="1">
      <x:c r="A75" s="1"/>
      <x:c r="B75" s="1"/>
      <x:c r="C75" s="1" t="str">
        <x:v>SQLite writes</x:v>
      </x:c>
      <x:c r="D75" s="18" t="n">
        <x:f>SUM(F75:Q75)</x:f>
        <x:v>0</x:v>
      </x:c>
      <x:c r="E75" s="18"/>
      <x:c r="F75" s="18" t="n">
        <x:f>MAX(0,(F22+F39)-'Assumptions'!$E$104)/1000000*'Assumptions'!$E$105</x:f>
        <x:v>0</x:v>
      </x:c>
      <x:c r="G75" s="18" t="n">
        <x:f>MAX(0,(G22+G39)-'Assumptions'!$E$104)/1000000*'Assumptions'!$E$105</x:f>
        <x:v>0</x:v>
      </x:c>
      <x:c r="H75" s="18" t="n">
        <x:f>MAX(0,(H22+H39)-'Assumptions'!$E$104)/1000000*'Assumptions'!$E$105</x:f>
        <x:v>0</x:v>
      </x:c>
      <x:c r="I75" s="18" t="n">
        <x:f>MAX(0,(I22+I39)-'Assumptions'!$E$104)/1000000*'Assumptions'!$E$105</x:f>
        <x:v>0</x:v>
      </x:c>
      <x:c r="J75" s="18" t="n">
        <x:f>MAX(0,(J22+J39)-'Assumptions'!$E$104)/1000000*'Assumptions'!$E$105</x:f>
        <x:v>0</x:v>
      </x:c>
      <x:c r="K75" s="18" t="n">
        <x:f>MAX(0,(K22+K39)-'Assumptions'!$E$104)/1000000*'Assumptions'!$E$105</x:f>
        <x:v>0</x:v>
      </x:c>
      <x:c r="L75" s="18" t="n">
        <x:f>MAX(0,(L22+L39)-'Assumptions'!$E$104)/1000000*'Assumptions'!$E$105</x:f>
        <x:v>0</x:v>
      </x:c>
      <x:c r="M75" s="18" t="n">
        <x:f>MAX(0,(M22+M39)-'Assumptions'!$E$104)/1000000*'Assumptions'!$E$105</x:f>
        <x:v>0</x:v>
      </x:c>
      <x:c r="N75" s="18" t="n">
        <x:f>MAX(0,(N22+N39)-'Assumptions'!$E$104)/1000000*'Assumptions'!$E$105</x:f>
        <x:v>0</x:v>
      </x:c>
      <x:c r="O75" s="18" t="n">
        <x:f>MAX(0,(O22+O39)-'Assumptions'!$E$104)/1000000*'Assumptions'!$E$105</x:f>
        <x:v>0</x:v>
      </x:c>
      <x:c r="P75" s="18" t="n">
        <x:f>MAX(0,(P22+P39)-'Assumptions'!$E$104)/1000000*'Assumptions'!$E$105</x:f>
        <x:v>0</x:v>
      </x:c>
      <x:c r="Q75" s="18" t="n">
        <x:f>MAX(0,(Q22+Q39)-'Assumptions'!$E$104)/1000000*'Assumptions'!$E$105</x:f>
        <x:v>0</x:v>
      </x:c>
    </x:row>
    <x:row r="76" ht="21" customHeight="1">
      <x:c r="A76" s="1"/>
      <x:c r="B76" s="1"/>
      <x:c r="C76" s="1" t="str">
        <x:v>SQLite storage</x:v>
      </x:c>
      <x:c r="D76" s="18" t="n">
        <x:f>SUM(F76:Q76)</x:f>
        <x:v>604.3080000000001</x:v>
      </x:c>
      <x:c r="E76" s="18"/>
      <x:c r="F76" s="18" t="n">
        <x:f>MAX(0,F23-'Assumptions'!$E$106)*'Assumptions'!$E$107</x:f>
        <x:v>8.24</x:v>
      </x:c>
      <x:c r="G76" s="18" t="n">
        <x:f>MAX(0,G23-'Assumptions'!$E$106)*'Assumptions'!$E$107</x:f>
        <x:v>12.860000000000003</x:v>
      </x:c>
      <x:c r="H76" s="18" t="n">
        <x:f>MAX(0,H23-'Assumptions'!$E$106)*'Assumptions'!$E$107</x:f>
        <x:v>19.328000000000003</x:v>
      </x:c>
      <x:c r="I76" s="18" t="n">
        <x:f>MAX(0,I23-'Assumptions'!$E$106)*'Assumptions'!$E$107</x:f>
        <x:v>26.720000000000006</x:v>
      </x:c>
      <x:c r="J76" s="18" t="n">
        <x:f>MAX(0,J23-'Assumptions'!$E$106)*'Assumptions'!$E$107</x:f>
        <x:v>35.96</x:v>
      </x:c>
      <x:c r="K76" s="18" t="n">
        <x:f>MAX(0,K23-'Assumptions'!$E$106)*'Assumptions'!$E$107</x:f>
        <x:v>45.20000000000001</x:v>
      </x:c>
      <x:c r="L76" s="18" t="n">
        <x:f>MAX(0,L23-'Assumptions'!$E$106)*'Assumptions'!$E$107</x:f>
        <x:v>54.44000000000001</x:v>
      </x:c>
      <x:c r="M76" s="18" t="n">
        <x:f>MAX(0,M23-'Assumptions'!$E$106)*'Assumptions'!$E$107</x:f>
        <x:v>63.68000000000001</x:v>
      </x:c>
      <x:c r="N76" s="18" t="n">
        <x:f>MAX(0,N23-'Assumptions'!$E$106)*'Assumptions'!$E$107</x:f>
        <x:v>72.92</x:v>
      </x:c>
      <x:c r="O76" s="18" t="n">
        <x:f>MAX(0,O23-'Assumptions'!$E$106)*'Assumptions'!$E$107</x:f>
        <x:v>82.16000000000001</x:v>
      </x:c>
      <x:c r="P76" s="18" t="n">
        <x:f>MAX(0,P23-'Assumptions'!$E$106)*'Assumptions'!$E$107</x:f>
        <x:v>91.40000000000002</x:v>
      </x:c>
      <x:c r="Q76" s="18" t="n">
        <x:f>MAX(0,Q23-'Assumptions'!$E$106)*'Assumptions'!$E$107</x:f>
        <x:v>91.40000000000002</x:v>
      </x:c>
    </x:row>
    <x:row r="77" ht="21" customHeight="1">
      <x:c r="A77" s="1"/>
      <x:c r="B77" s="1"/>
      <x:c r="C77" s="1" t="str">
        <x:v>R2 storage</x:v>
      </x:c>
      <x:c r="D77" s="18" t="n">
        <x:f>SUM(F77:Q77)</x:f>
        <x:v>218.39999999999998</x:v>
      </x:c>
      <x:c r="E77" s="18"/>
      <x:c r="F77" s="18" t="n">
        <x:f>ROUNDUP(MAX(0,F24-'Assumptions'!$E$108),0)*'Assumptions'!$E$109</x:f>
        <x:v>3.165</x:v>
      </x:c>
      <x:c r="G77" s="18" t="n">
        <x:f>ROUNDUP(MAX(0,G24-'Assumptions'!$E$108),0)*'Assumptions'!$E$109</x:f>
        <x:v>4.8</x:v>
      </x:c>
      <x:c r="H77" s="18" t="n">
        <x:f>ROUNDUP(MAX(0,H24-'Assumptions'!$E$108),0)*'Assumptions'!$E$109</x:f>
        <x:v>7.125</x:v>
      </x:c>
      <x:c r="I77" s="18" t="n">
        <x:f>ROUNDUP(MAX(0,I24-'Assumptions'!$E$108),0)*'Assumptions'!$E$109</x:f>
        <x:v>9.75</x:v>
      </x:c>
      <x:c r="J77" s="18" t="n">
        <x:f>ROUNDUP(MAX(0,J24-'Assumptions'!$E$108),0)*'Assumptions'!$E$109</x:f>
        <x:v>13.065</x:v>
      </x:c>
      <x:c r="K77" s="18" t="n">
        <x:f>ROUNDUP(MAX(0,K24-'Assumptions'!$E$108),0)*'Assumptions'!$E$109</x:f>
        <x:v>16.349999999999998</x:v>
      </x:c>
      <x:c r="L77" s="18" t="n">
        <x:f>ROUNDUP(MAX(0,L24-'Assumptions'!$E$108),0)*'Assumptions'!$E$109</x:f>
        <x:v>19.65</x:v>
      </x:c>
      <x:c r="M77" s="18" t="n">
        <x:f>ROUNDUP(MAX(0,M24-'Assumptions'!$E$108),0)*'Assumptions'!$E$109</x:f>
        <x:v>22.965</x:v>
      </x:c>
      <x:c r="N77" s="18" t="n">
        <x:f>ROUNDUP(MAX(0,N24-'Assumptions'!$E$108),0)*'Assumptions'!$E$109</x:f>
        <x:v>26.265</x:v>
      </x:c>
      <x:c r="O77" s="18" t="n">
        <x:f>ROUNDUP(MAX(0,O24-'Assumptions'!$E$108),0)*'Assumptions'!$E$109</x:f>
        <x:v>29.564999999999998</x:v>
      </x:c>
      <x:c r="P77" s="18" t="n">
        <x:f>ROUNDUP(MAX(0,P24-'Assumptions'!$E$108),0)*'Assumptions'!$E$109</x:f>
        <x:v>32.85</x:v>
      </x:c>
      <x:c r="Q77" s="18" t="n">
        <x:f>ROUNDUP(MAX(0,Q24-'Assumptions'!$E$108),0)*'Assumptions'!$E$109</x:f>
        <x:v>32.85</x:v>
      </x:c>
    </x:row>
    <x:row r="78" ht="21" customHeight="1">
      <x:c r="A78" s="1"/>
      <x:c r="B78" s="1"/>
      <x:c r="C78" s="1" t="str">
        <x:v>R2 class A</x:v>
      </x:c>
      <x:c r="D78" s="18" t="n">
        <x:f>SUM(F78:Q78)</x:f>
        <x:v>0</x:v>
      </x:c>
      <x:c r="E78" s="18"/>
      <x:c r="F78" s="18" t="n">
        <x:f>ROUNDUP(MAX(0,F25-'Assumptions'!$E$110)/1000000,0)*'Assumptions'!$E$111</x:f>
        <x:v>0</x:v>
      </x:c>
      <x:c r="G78" s="18" t="n">
        <x:f>ROUNDUP(MAX(0,G25-'Assumptions'!$E$110)/1000000,0)*'Assumptions'!$E$111</x:f>
        <x:v>0</x:v>
      </x:c>
      <x:c r="H78" s="18" t="n">
        <x:f>ROUNDUP(MAX(0,H25-'Assumptions'!$E$110)/1000000,0)*'Assumptions'!$E$111</x:f>
        <x:v>0</x:v>
      </x:c>
      <x:c r="I78" s="18" t="n">
        <x:f>ROUNDUP(MAX(0,I25-'Assumptions'!$E$110)/1000000,0)*'Assumptions'!$E$111</x:f>
        <x:v>0</x:v>
      </x:c>
      <x:c r="J78" s="18" t="n">
        <x:f>ROUNDUP(MAX(0,J25-'Assumptions'!$E$110)/1000000,0)*'Assumptions'!$E$111</x:f>
        <x:v>0</x:v>
      </x:c>
      <x:c r="K78" s="18" t="n">
        <x:f>ROUNDUP(MAX(0,K25-'Assumptions'!$E$110)/1000000,0)*'Assumptions'!$E$111</x:f>
        <x:v>0</x:v>
      </x:c>
      <x:c r="L78" s="18" t="n">
        <x:f>ROUNDUP(MAX(0,L25-'Assumptions'!$E$110)/1000000,0)*'Assumptions'!$E$111</x:f>
        <x:v>0</x:v>
      </x:c>
      <x:c r="M78" s="18" t="n">
        <x:f>ROUNDUP(MAX(0,M25-'Assumptions'!$E$110)/1000000,0)*'Assumptions'!$E$111</x:f>
        <x:v>0</x:v>
      </x:c>
      <x:c r="N78" s="18" t="n">
        <x:f>ROUNDUP(MAX(0,N25-'Assumptions'!$E$110)/1000000,0)*'Assumptions'!$E$111</x:f>
        <x:v>0</x:v>
      </x:c>
      <x:c r="O78" s="18" t="n">
        <x:f>ROUNDUP(MAX(0,O25-'Assumptions'!$E$110)/1000000,0)*'Assumptions'!$E$111</x:f>
        <x:v>0</x:v>
      </x:c>
      <x:c r="P78" s="18" t="n">
        <x:f>ROUNDUP(MAX(0,P25-'Assumptions'!$E$110)/1000000,0)*'Assumptions'!$E$111</x:f>
        <x:v>0</x:v>
      </x:c>
      <x:c r="Q78" s="18" t="n">
        <x:f>ROUNDUP(MAX(0,Q25-'Assumptions'!$E$110)/1000000,0)*'Assumptions'!$E$111</x:f>
        <x:v>0</x:v>
      </x:c>
    </x:row>
    <x:row r="79" ht="21" customHeight="1">
      <x:c r="A79" s="1"/>
      <x:c r="B79" s="1"/>
      <x:c r="C79" s="1" t="str">
        <x:v>R2 class B</x:v>
      </x:c>
      <x:c r="D79" s="18" t="n">
        <x:f>SUM(F79:Q79)</x:f>
        <x:v>0</x:v>
      </x:c>
      <x:c r="E79" s="18"/>
      <x:c r="F79" s="18" t="n">
        <x:f>ROUNDUP(MAX(0,F26-'Assumptions'!$E$112)/1000000,0)*'Assumptions'!$E$113</x:f>
        <x:v>0</x:v>
      </x:c>
      <x:c r="G79" s="18" t="n">
        <x:f>ROUNDUP(MAX(0,G26-'Assumptions'!$E$112)/1000000,0)*'Assumptions'!$E$113</x:f>
        <x:v>0</x:v>
      </x:c>
      <x:c r="H79" s="18" t="n">
        <x:f>ROUNDUP(MAX(0,H26-'Assumptions'!$E$112)/1000000,0)*'Assumptions'!$E$113</x:f>
        <x:v>0</x:v>
      </x:c>
      <x:c r="I79" s="18" t="n">
        <x:f>ROUNDUP(MAX(0,I26-'Assumptions'!$E$112)/1000000,0)*'Assumptions'!$E$113</x:f>
        <x:v>0</x:v>
      </x:c>
      <x:c r="J79" s="18" t="n">
        <x:f>ROUNDUP(MAX(0,J26-'Assumptions'!$E$112)/1000000,0)*'Assumptions'!$E$113</x:f>
        <x:v>0</x:v>
      </x:c>
      <x:c r="K79" s="18" t="n">
        <x:f>ROUNDUP(MAX(0,K26-'Assumptions'!$E$112)/1000000,0)*'Assumptions'!$E$113</x:f>
        <x:v>0</x:v>
      </x:c>
      <x:c r="L79" s="18" t="n">
        <x:f>ROUNDUP(MAX(0,L26-'Assumptions'!$E$112)/1000000,0)*'Assumptions'!$E$113</x:f>
        <x:v>0</x:v>
      </x:c>
      <x:c r="M79" s="18" t="n">
        <x:f>ROUNDUP(MAX(0,M26-'Assumptions'!$E$112)/1000000,0)*'Assumptions'!$E$113</x:f>
        <x:v>0</x:v>
      </x:c>
      <x:c r="N79" s="18" t="n">
        <x:f>ROUNDUP(MAX(0,N26-'Assumptions'!$E$112)/1000000,0)*'Assumptions'!$E$113</x:f>
        <x:v>0</x:v>
      </x:c>
      <x:c r="O79" s="18" t="n">
        <x:f>ROUNDUP(MAX(0,O26-'Assumptions'!$E$112)/1000000,0)*'Assumptions'!$E$113</x:f>
        <x:v>0</x:v>
      </x:c>
      <x:c r="P79" s="18" t="n">
        <x:f>ROUNDUP(MAX(0,P26-'Assumptions'!$E$112)/1000000,0)*'Assumptions'!$E$113</x:f>
        <x:v>0</x:v>
      </x:c>
      <x:c r="Q79" s="18" t="n">
        <x:f>ROUNDUP(MAX(0,Q26-'Assumptions'!$E$112)/1000000,0)*'Assumptions'!$E$113</x:f>
        <x:v>0</x:v>
      </x:c>
    </x:row>
    <x:row r="80" ht="21" customHeight="1">
      <x:c r="A80" s="1"/>
      <x:c r="B80" s="1"/>
      <x:c r="C80" s="1" t="str">
        <x:v>D1 reads</x:v>
      </x:c>
      <x:c r="D80" s="18" t="n">
        <x:f>SUM(F80:Q80)</x:f>
        <x:v>0</x:v>
      </x:c>
      <x:c r="E80" s="18"/>
      <x:c r="F80" s="18" t="n">
        <x:f>MAX(0,F27-'Assumptions'!$E$114)/1000000*'Assumptions'!$E$115</x:f>
        <x:v>0</x:v>
      </x:c>
      <x:c r="G80" s="18" t="n">
        <x:f>MAX(0,G27-'Assumptions'!$E$114)/1000000*'Assumptions'!$E$115</x:f>
        <x:v>0</x:v>
      </x:c>
      <x:c r="H80" s="18" t="n">
        <x:f>MAX(0,H27-'Assumptions'!$E$114)/1000000*'Assumptions'!$E$115</x:f>
        <x:v>0</x:v>
      </x:c>
      <x:c r="I80" s="18" t="n">
        <x:f>MAX(0,I27-'Assumptions'!$E$114)/1000000*'Assumptions'!$E$115</x:f>
        <x:v>0</x:v>
      </x:c>
      <x:c r="J80" s="18" t="n">
        <x:f>MAX(0,J27-'Assumptions'!$E$114)/1000000*'Assumptions'!$E$115</x:f>
        <x:v>0</x:v>
      </x:c>
      <x:c r="K80" s="18" t="n">
        <x:f>MAX(0,K27-'Assumptions'!$E$114)/1000000*'Assumptions'!$E$115</x:f>
        <x:v>0</x:v>
      </x:c>
      <x:c r="L80" s="18" t="n">
        <x:f>MAX(0,L27-'Assumptions'!$E$114)/1000000*'Assumptions'!$E$115</x:f>
        <x:v>0</x:v>
      </x:c>
      <x:c r="M80" s="18" t="n">
        <x:f>MAX(0,M27-'Assumptions'!$E$114)/1000000*'Assumptions'!$E$115</x:f>
        <x:v>0</x:v>
      </x:c>
      <x:c r="N80" s="18" t="n">
        <x:f>MAX(0,N27-'Assumptions'!$E$114)/1000000*'Assumptions'!$E$115</x:f>
        <x:v>0</x:v>
      </x:c>
      <x:c r="O80" s="18" t="n">
        <x:f>MAX(0,O27-'Assumptions'!$E$114)/1000000*'Assumptions'!$E$115</x:f>
        <x:v>0</x:v>
      </x:c>
      <x:c r="P80" s="18" t="n">
        <x:f>MAX(0,P27-'Assumptions'!$E$114)/1000000*'Assumptions'!$E$115</x:f>
        <x:v>0</x:v>
      </x:c>
      <x:c r="Q80" s="18" t="n">
        <x:f>MAX(0,Q27-'Assumptions'!$E$114)/1000000*'Assumptions'!$E$115</x:f>
        <x:v>0</x:v>
      </x:c>
    </x:row>
    <x:row r="81" ht="21" customHeight="1">
      <x:c r="A81" s="1"/>
      <x:c r="B81" s="1"/>
      <x:c r="C81" s="1" t="str">
        <x:v>D1 writes</x:v>
      </x:c>
      <x:c r="D81" s="18" t="n">
        <x:f>SUM(F81:Q81)</x:f>
        <x:v>0</x:v>
      </x:c>
      <x:c r="E81" s="18"/>
      <x:c r="F81" s="18" t="n">
        <x:f>MAX(0,F28-'Assumptions'!$E$116)/1000000*'Assumptions'!$E$117</x:f>
        <x:v>0</x:v>
      </x:c>
      <x:c r="G81" s="18" t="n">
        <x:f>MAX(0,G28-'Assumptions'!$E$116)/1000000*'Assumptions'!$E$117</x:f>
        <x:v>0</x:v>
      </x:c>
      <x:c r="H81" s="18" t="n">
        <x:f>MAX(0,H28-'Assumptions'!$E$116)/1000000*'Assumptions'!$E$117</x:f>
        <x:v>0</x:v>
      </x:c>
      <x:c r="I81" s="18" t="n">
        <x:f>MAX(0,I28-'Assumptions'!$E$116)/1000000*'Assumptions'!$E$117</x:f>
        <x:v>0</x:v>
      </x:c>
      <x:c r="J81" s="18" t="n">
        <x:f>MAX(0,J28-'Assumptions'!$E$116)/1000000*'Assumptions'!$E$117</x:f>
        <x:v>0</x:v>
      </x:c>
      <x:c r="K81" s="18" t="n">
        <x:f>MAX(0,K28-'Assumptions'!$E$116)/1000000*'Assumptions'!$E$117</x:f>
        <x:v>0</x:v>
      </x:c>
      <x:c r="L81" s="18" t="n">
        <x:f>MAX(0,L28-'Assumptions'!$E$116)/1000000*'Assumptions'!$E$117</x:f>
        <x:v>0</x:v>
      </x:c>
      <x:c r="M81" s="18" t="n">
        <x:f>MAX(0,M28-'Assumptions'!$E$116)/1000000*'Assumptions'!$E$117</x:f>
        <x:v>0</x:v>
      </x:c>
      <x:c r="N81" s="18" t="n">
        <x:f>MAX(0,N28-'Assumptions'!$E$116)/1000000*'Assumptions'!$E$117</x:f>
        <x:v>0</x:v>
      </x:c>
      <x:c r="O81" s="18" t="n">
        <x:f>MAX(0,O28-'Assumptions'!$E$116)/1000000*'Assumptions'!$E$117</x:f>
        <x:v>0</x:v>
      </x:c>
      <x:c r="P81" s="18" t="n">
        <x:f>MAX(0,P28-'Assumptions'!$E$116)/1000000*'Assumptions'!$E$117</x:f>
        <x:v>0</x:v>
      </x:c>
      <x:c r="Q81" s="18" t="n">
        <x:f>MAX(0,Q28-'Assumptions'!$E$116)/1000000*'Assumptions'!$E$117</x:f>
        <x:v>0</x:v>
      </x:c>
    </x:row>
    <x:row r="82" ht="21" customHeight="1">
      <x:c r="A82" s="1"/>
      <x:c r="B82" s="1"/>
      <x:c r="C82" s="1" t="str">
        <x:v>D1 storage</x:v>
      </x:c>
      <x:c r="D82" s="18" t="n">
        <x:f>SUM(F82:Q82)</x:f>
        <x:v>175.56</x:v>
      </x:c>
      <x:c r="E82" s="18"/>
      <x:c r="F82" s="18" t="n">
        <x:f>MAX(0,F29-'Assumptions'!$E$118)*'Assumptions'!$E$119</x:f>
        <x:v>0</x:v>
      </x:c>
      <x:c r="G82" s="18" t="n">
        <x:f>MAX(0,G29-'Assumptions'!$E$118)*'Assumptions'!$E$119</x:f>
        <x:v>1.2000000000000004</x:v>
      </x:c>
      <x:c r="H82" s="18" t="n">
        <x:f>MAX(0,H29-'Assumptions'!$E$118)*'Assumptions'!$E$119</x:f>
        <x:v>3.510000000000001</x:v>
      </x:c>
      <x:c r="I82" s="18" t="n">
        <x:f>MAX(0,I29-'Assumptions'!$E$118)*'Assumptions'!$E$119</x:f>
        <x:v>6.15</x:v>
      </x:c>
      <x:c r="J82" s="18" t="n">
        <x:f>MAX(0,J29-'Assumptions'!$E$118)*'Assumptions'!$E$119</x:f>
        <x:v>9.450000000000001</x:v>
      </x:c>
      <x:c r="K82" s="18" t="n">
        <x:f>MAX(0,K29-'Assumptions'!$E$118)*'Assumptions'!$E$119</x:f>
        <x:v>12.75</x:v>
      </x:c>
      <x:c r="L82" s="18" t="n">
        <x:f>MAX(0,L29-'Assumptions'!$E$118)*'Assumptions'!$E$119</x:f>
        <x:v>16.05</x:v>
      </x:c>
      <x:c r="M82" s="18" t="n">
        <x:f>MAX(0,M29-'Assumptions'!$E$118)*'Assumptions'!$E$119</x:f>
        <x:v>19.35</x:v>
      </x:c>
      <x:c r="N82" s="18" t="n">
        <x:f>MAX(0,N29-'Assumptions'!$E$118)*'Assumptions'!$E$119</x:f>
        <x:v>22.650000000000002</x:v>
      </x:c>
      <x:c r="O82" s="18" t="n">
        <x:f>MAX(0,O29-'Assumptions'!$E$118)*'Assumptions'!$E$119</x:f>
        <x:v>25.950000000000003</x:v>
      </x:c>
      <x:c r="P82" s="18" t="n">
        <x:f>MAX(0,P29-'Assumptions'!$E$118)*'Assumptions'!$E$119</x:f>
        <x:v>29.25</x:v>
      </x:c>
      <x:c r="Q82" s="18" t="n">
        <x:f>MAX(0,Q29-'Assumptions'!$E$118)*'Assumptions'!$E$119</x:f>
        <x:v>29.25</x:v>
      </x:c>
    </x:row>
    <x:row r="83" ht="21" customHeight="1">
      <x:c r="A83" s="1"/>
      <x:c r="B83" s="1"/>
      <x:c r="C83" s="1" t="str">
        <x:v>Logging</x:v>
      </x:c>
      <x:c r="D83" s="18" t="n">
        <x:f>SUM(F83:Q83)</x:f>
        <x:v>13.55794166666667</x:v>
      </x:c>
      <x:c r="E83" s="18"/>
      <x:c r="F83" s="18" t="n">
        <x:f>IF(F$6&lt;DATE(2026,12,1),MAX(0,(F30+F40)-'Assumptions'!$E$120)/1000000*'Assumptions'!$E$121,MAX(0,(F31+F41)-'Assumptions'!$E$122)*'Assumptions'!$E$123+MAX(0,(F32+F42)-'Assumptions'!$E$124)*'Assumptions'!$E$125)</x:f>
        <x:v>0</x:v>
      </x:c>
      <x:c r="G83" s="18" t="n">
        <x:f>IF(G$6&lt;DATE(2026,12,1),MAX(0,(G30+G40)-'Assumptions'!$E$120)/1000000*'Assumptions'!$E$121,MAX(0,(G31+G41)-'Assumptions'!$E$122)*'Assumptions'!$E$123+MAX(0,(G32+G42)-'Assumptions'!$E$124)*'Assumptions'!$E$125)</x:f>
        <x:v>0</x:v>
      </x:c>
      <x:c r="H83" s="18" t="n">
        <x:f>IF(H$6&lt;DATE(2026,12,1),MAX(0,(H30+H40)-'Assumptions'!$E$120)/1000000*'Assumptions'!$E$121,MAX(0,(H31+H41)-'Assumptions'!$E$122)*'Assumptions'!$E$123+MAX(0,(H32+H42)-'Assumptions'!$E$124)*'Assumptions'!$E$125)</x:f>
        <x:v>0</x:v>
      </x:c>
      <x:c r="I83" s="18" t="n">
        <x:f>IF(I$6&lt;DATE(2026,12,1),MAX(0,(I30+I40)-'Assumptions'!$E$120)/1000000*'Assumptions'!$E$121,MAX(0,(I31+I41)-'Assumptions'!$E$122)*'Assumptions'!$E$123+MAX(0,(I32+I42)-'Assumptions'!$E$124)*'Assumptions'!$E$125)</x:f>
        <x:v>0</x:v>
      </x:c>
      <x:c r="J83" s="18" t="n">
        <x:f>IF(J$6&lt;DATE(2026,12,1),MAX(0,(J30+J40)-'Assumptions'!$E$120)/1000000*'Assumptions'!$E$121,MAX(0,(J31+J41)-'Assumptions'!$E$122)*'Assumptions'!$E$123+MAX(0,(J32+J42)-'Assumptions'!$E$124)*'Assumptions'!$E$125)</x:f>
        <x:v>0</x:v>
      </x:c>
      <x:c r="K83" s="18" t="n">
        <x:f>IF(K$6&lt;DATE(2026,12,1),MAX(0,(K30+K40)-'Assumptions'!$E$120)/1000000*'Assumptions'!$E$121,MAX(0,(K31+K41)-'Assumptions'!$E$122)*'Assumptions'!$E$123+MAX(0,(K32+K42)-'Assumptions'!$E$124)*'Assumptions'!$E$125)</x:f>
        <x:v>0</x:v>
      </x:c>
      <x:c r="L83" s="18" t="n">
        <x:f>IF(L$6&lt;DATE(2026,12,1),MAX(0,(L30+L40)-'Assumptions'!$E$120)/1000000*'Assumptions'!$E$121,MAX(0,(L31+L41)-'Assumptions'!$E$122)*'Assumptions'!$E$123+MAX(0,(L32+L42)-'Assumptions'!$E$124)*'Assumptions'!$E$125)</x:f>
        <x:v>0</x:v>
      </x:c>
      <x:c r="M83" s="18" t="n">
        <x:f>IF(M$6&lt;DATE(2026,12,1),MAX(0,(M30+M40)-'Assumptions'!$E$120)/1000000*'Assumptions'!$E$121,MAX(0,(M31+M41)-'Assumptions'!$E$122)*'Assumptions'!$E$123+MAX(0,(M32+M42)-'Assumptions'!$E$124)*'Assumptions'!$E$125)</x:f>
        <x:v>0</x:v>
      </x:c>
      <x:c r="N83" s="18" t="n">
        <x:f>IF(N$6&lt;DATE(2026,12,1),MAX(0,(N30+N40)-'Assumptions'!$E$120)/1000000*'Assumptions'!$E$121,MAX(0,(N31+N41)-'Assumptions'!$E$122)*'Assumptions'!$E$123+MAX(0,(N32+N42)-'Assumptions'!$E$124)*'Assumptions'!$E$125)</x:f>
        <x:v>0.8522666666666672</x:v>
      </x:c>
      <x:c r="O83" s="18" t="n">
        <x:f>IF(O$6&lt;DATE(2026,12,1),MAX(0,(O30+O40)-'Assumptions'!$E$120)/1000000*'Assumptions'!$E$121,MAX(0,(O31+O41)-'Assumptions'!$E$122)*'Assumptions'!$E$123+MAX(0,(O32+O42)-'Assumptions'!$E$124)*'Assumptions'!$E$125)</x:f>
        <x:v>3.1704250000000003</x:v>
      </x:c>
      <x:c r="P83" s="18" t="n">
        <x:f>IF(P$6&lt;DATE(2026,12,1),MAX(0,(P30+P40)-'Assumptions'!$E$120)/1000000*'Assumptions'!$E$121,MAX(0,(P31+P41)-'Assumptions'!$E$122)*'Assumptions'!$E$123+MAX(0,(P32+P42)-'Assumptions'!$E$124)*'Assumptions'!$E$125)</x:f>
        <x:v>5.04491666666667</x:v>
      </x:c>
      <x:c r="Q83" s="18" t="n">
        <x:f>IF(Q$6&lt;DATE(2026,12,1),MAX(0,(Q30+Q40)-'Assumptions'!$E$120)/1000000*'Assumptions'!$E$121,MAX(0,(Q31+Q41)-'Assumptions'!$E$122)*'Assumptions'!$E$123+MAX(0,(Q32+Q42)-'Assumptions'!$E$124)*'Assumptions'!$E$125)</x:f>
        <x:v>4.490333333333332</x:v>
      </x:c>
    </x:row>
    <x:row r="84" ht="21" customHeight="1">
      <x:c r="A84" s="1"/>
      <x:c r="B84" s="1"/>
      <x:c r="C84" s="1" t="str">
        <x:v>Container CPU</x:v>
      </x:c>
      <x:c r="D84" s="18" t="n">
        <x:f>SUM(F84:Q84)</x:f>
        <x:v>0</x:v>
      </x:c>
      <x:c r="E84" s="18"/>
      <x:c r="F84" s="18" t="n">
        <x:f>MAX(0,F43-'Assumptions'!$E$126)*'Assumptions'!$E$127</x:f>
        <x:v>0</x:v>
      </x:c>
      <x:c r="G84" s="18" t="n">
        <x:f>MAX(0,G43-'Assumptions'!$E$126)*'Assumptions'!$E$127</x:f>
        <x:v>0</x:v>
      </x:c>
      <x:c r="H84" s="18" t="n">
        <x:f>MAX(0,H43-'Assumptions'!$E$126)*'Assumptions'!$E$127</x:f>
        <x:v>0</x:v>
      </x:c>
      <x:c r="I84" s="18" t="n">
        <x:f>MAX(0,I43-'Assumptions'!$E$126)*'Assumptions'!$E$127</x:f>
        <x:v>0</x:v>
      </x:c>
      <x:c r="J84" s="18" t="n">
        <x:f>MAX(0,J43-'Assumptions'!$E$126)*'Assumptions'!$E$127</x:f>
        <x:v>0</x:v>
      </x:c>
      <x:c r="K84" s="18" t="n">
        <x:f>MAX(0,K43-'Assumptions'!$E$126)*'Assumptions'!$E$127</x:f>
        <x:v>0</x:v>
      </x:c>
      <x:c r="L84" s="18" t="n">
        <x:f>MAX(0,L43-'Assumptions'!$E$126)*'Assumptions'!$E$127</x:f>
        <x:v>0</x:v>
      </x:c>
      <x:c r="M84" s="18" t="n">
        <x:f>MAX(0,M43-'Assumptions'!$E$126)*'Assumptions'!$E$127</x:f>
        <x:v>0</x:v>
      </x:c>
      <x:c r="N84" s="18" t="n">
        <x:f>MAX(0,N43-'Assumptions'!$E$126)*'Assumptions'!$E$127</x:f>
        <x:v>0</x:v>
      </x:c>
      <x:c r="O84" s="18" t="n">
        <x:f>MAX(0,O43-'Assumptions'!$E$126)*'Assumptions'!$E$127</x:f>
        <x:v>0</x:v>
      </x:c>
      <x:c r="P84" s="18" t="n">
        <x:f>MAX(0,P43-'Assumptions'!$E$126)*'Assumptions'!$E$127</x:f>
        <x:v>0</x:v>
      </x:c>
      <x:c r="Q84" s="18" t="n">
        <x:f>MAX(0,Q43-'Assumptions'!$E$126)*'Assumptions'!$E$127</x:f>
        <x:v>0</x:v>
      </x:c>
    </x:row>
    <x:row r="85" ht="21" customHeight="1">
      <x:c r="A85" s="1"/>
      <x:c r="B85" s="1"/>
      <x:c r="C85" s="1" t="str">
        <x:v>Container memory</x:v>
      </x:c>
      <x:c r="D85" s="18" t="n">
        <x:f>SUM(F85:Q85)</x:f>
        <x:v>0</x:v>
      </x:c>
      <x:c r="E85" s="18"/>
      <x:c r="F85" s="18" t="n">
        <x:f>MAX(0,F44-'Assumptions'!$E$128)*'Assumptions'!$E$129</x:f>
        <x:v>0</x:v>
      </x:c>
      <x:c r="G85" s="18" t="n">
        <x:f>MAX(0,G44-'Assumptions'!$E$128)*'Assumptions'!$E$129</x:f>
        <x:v>0</x:v>
      </x:c>
      <x:c r="H85" s="18" t="n">
        <x:f>MAX(0,H44-'Assumptions'!$E$128)*'Assumptions'!$E$129</x:f>
        <x:v>0</x:v>
      </x:c>
      <x:c r="I85" s="18" t="n">
        <x:f>MAX(0,I44-'Assumptions'!$E$128)*'Assumptions'!$E$129</x:f>
        <x:v>0</x:v>
      </x:c>
      <x:c r="J85" s="18" t="n">
        <x:f>MAX(0,J44-'Assumptions'!$E$128)*'Assumptions'!$E$129</x:f>
        <x:v>0</x:v>
      </x:c>
      <x:c r="K85" s="18" t="n">
        <x:f>MAX(0,K44-'Assumptions'!$E$128)*'Assumptions'!$E$129</x:f>
        <x:v>0</x:v>
      </x:c>
      <x:c r="L85" s="18" t="n">
        <x:f>MAX(0,L44-'Assumptions'!$E$128)*'Assumptions'!$E$129</x:f>
        <x:v>0</x:v>
      </x:c>
      <x:c r="M85" s="18" t="n">
        <x:f>MAX(0,M44-'Assumptions'!$E$128)*'Assumptions'!$E$129</x:f>
        <x:v>0</x:v>
      </x:c>
      <x:c r="N85" s="18" t="n">
        <x:f>MAX(0,N44-'Assumptions'!$E$128)*'Assumptions'!$E$129</x:f>
        <x:v>0</x:v>
      </x:c>
      <x:c r="O85" s="18" t="n">
        <x:f>MAX(0,O44-'Assumptions'!$E$128)*'Assumptions'!$E$129</x:f>
        <x:v>0</x:v>
      </x:c>
      <x:c r="P85" s="18" t="n">
        <x:f>MAX(0,P44-'Assumptions'!$E$128)*'Assumptions'!$E$129</x:f>
        <x:v>0</x:v>
      </x:c>
      <x:c r="Q85" s="18" t="n">
        <x:f>MAX(0,Q44-'Assumptions'!$E$128)*'Assumptions'!$E$129</x:f>
        <x:v>0</x:v>
      </x:c>
    </x:row>
    <x:row r="86" ht="21" customHeight="1">
      <x:c r="A86" s="1"/>
      <x:c r="B86" s="1"/>
      <x:c r="C86" s="1" t="str">
        <x:v>Container disk</x:v>
      </x:c>
      <x:c r="D86" s="18" t="n">
        <x:f>SUM(F86:Q86)</x:f>
        <x:v>0</x:v>
      </x:c>
      <x:c r="E86" s="18"/>
      <x:c r="F86" s="18" t="n">
        <x:f>MAX(0,F45-'Assumptions'!$E$130)*'Assumptions'!$E$131</x:f>
        <x:v>0</x:v>
      </x:c>
      <x:c r="G86" s="18" t="n">
        <x:f>MAX(0,G45-'Assumptions'!$E$130)*'Assumptions'!$E$131</x:f>
        <x:v>0</x:v>
      </x:c>
      <x:c r="H86" s="18" t="n">
        <x:f>MAX(0,H45-'Assumptions'!$E$130)*'Assumptions'!$E$131</x:f>
        <x:v>0</x:v>
      </x:c>
      <x:c r="I86" s="18" t="n">
        <x:f>MAX(0,I45-'Assumptions'!$E$130)*'Assumptions'!$E$131</x:f>
        <x:v>0</x:v>
      </x:c>
      <x:c r="J86" s="18" t="n">
        <x:f>MAX(0,J45-'Assumptions'!$E$130)*'Assumptions'!$E$131</x:f>
        <x:v>0</x:v>
      </x:c>
      <x:c r="K86" s="18" t="n">
        <x:f>MAX(0,K45-'Assumptions'!$E$130)*'Assumptions'!$E$131</x:f>
        <x:v>0</x:v>
      </x:c>
      <x:c r="L86" s="18" t="n">
        <x:f>MAX(0,L45-'Assumptions'!$E$130)*'Assumptions'!$E$131</x:f>
        <x:v>0</x:v>
      </x:c>
      <x:c r="M86" s="18" t="n">
        <x:f>MAX(0,M45-'Assumptions'!$E$130)*'Assumptions'!$E$131</x:f>
        <x:v>0</x:v>
      </x:c>
      <x:c r="N86" s="18" t="n">
        <x:f>MAX(0,N45-'Assumptions'!$E$130)*'Assumptions'!$E$131</x:f>
        <x:v>0</x:v>
      </x:c>
      <x:c r="O86" s="18" t="n">
        <x:f>MAX(0,O45-'Assumptions'!$E$130)*'Assumptions'!$E$131</x:f>
        <x:v>0</x:v>
      </x:c>
      <x:c r="P86" s="18" t="n">
        <x:f>MAX(0,P45-'Assumptions'!$E$130)*'Assumptions'!$E$131</x:f>
        <x:v>0</x:v>
      </x:c>
      <x:c r="Q86" s="18" t="n">
        <x:f>MAX(0,Q45-'Assumptions'!$E$130)*'Assumptions'!$E$131</x:f>
        <x:v>0</x:v>
      </x:c>
    </x:row>
    <x:row r="87" ht="21" customHeight="1">
      <x:c r="A87" s="1"/>
      <x:c r="B87" s="1"/>
      <x:c r="C87" s="1" t="str">
        <x:v>Container egress</x:v>
      </x:c>
      <x:c r="D87" s="18" t="n">
        <x:f>SUM(F87:Q87)</x:f>
        <x:v>0</x:v>
      </x:c>
      <x:c r="E87" s="18"/>
      <x:c r="F87" s="18" t="n">
        <x:f>MAX(0,F46-'Assumptions'!$E$132)*'Assumptions'!$E$133</x:f>
        <x:v>0</x:v>
      </x:c>
      <x:c r="G87" s="18" t="n">
        <x:f>MAX(0,G46-'Assumptions'!$E$132)*'Assumptions'!$E$133</x:f>
        <x:v>0</x:v>
      </x:c>
      <x:c r="H87" s="18" t="n">
        <x:f>MAX(0,H46-'Assumptions'!$E$132)*'Assumptions'!$E$133</x:f>
        <x:v>0</x:v>
      </x:c>
      <x:c r="I87" s="18" t="n">
        <x:f>MAX(0,I46-'Assumptions'!$E$132)*'Assumptions'!$E$133</x:f>
        <x:v>0</x:v>
      </x:c>
      <x:c r="J87" s="18" t="n">
        <x:f>MAX(0,J46-'Assumptions'!$E$132)*'Assumptions'!$E$133</x:f>
        <x:v>0</x:v>
      </x:c>
      <x:c r="K87" s="18" t="n">
        <x:f>MAX(0,K46-'Assumptions'!$E$132)*'Assumptions'!$E$133</x:f>
        <x:v>0</x:v>
      </x:c>
      <x:c r="L87" s="18" t="n">
        <x:f>MAX(0,L46-'Assumptions'!$E$132)*'Assumptions'!$E$133</x:f>
        <x:v>0</x:v>
      </x:c>
      <x:c r="M87" s="18" t="n">
        <x:f>MAX(0,M46-'Assumptions'!$E$132)*'Assumptions'!$E$133</x:f>
        <x:v>0</x:v>
      </x:c>
      <x:c r="N87" s="18" t="n">
        <x:f>MAX(0,N46-'Assumptions'!$E$132)*'Assumptions'!$E$133</x:f>
        <x:v>0</x:v>
      </x:c>
      <x:c r="O87" s="18" t="n">
        <x:f>MAX(0,O46-'Assumptions'!$E$132)*'Assumptions'!$E$133</x:f>
        <x:v>0</x:v>
      </x:c>
      <x:c r="P87" s="18" t="n">
        <x:f>MAX(0,P46-'Assumptions'!$E$132)*'Assumptions'!$E$133</x:f>
        <x:v>0</x:v>
      </x:c>
      <x:c r="Q87" s="18" t="n">
        <x:f>MAX(0,Q46-'Assumptions'!$E$132)*'Assumptions'!$E$133</x:f>
        <x:v>0</x:v>
      </x:c>
    </x:row>
    <x:row r="88" ht="21" customHeight="1">
      <x:c r="A88" s="1"/>
      <x:c r="B88" s="1"/>
      <x:c r="C88" s="1" t="str">
        <x:v>Combined Cloudflare total (USD)</x:v>
      </x:c>
      <x:c r="D88" s="18" t="n">
        <x:f>SUM(F88:Q88)</x:f>
        <x:v>3021.677008333334</x:v>
      </x:c>
      <x:c r="E88" s="18"/>
      <x:c r="F88" s="18" t="n">
        <x:f>SUM(F69:F87)+'Assumptions'!$E$29</x:f>
        <x:v>47.62766666666667</x:v>
      </x:c>
      <x:c r="G88" s="18" t="n">
        <x:f>SUM(G69:G87)+'Assumptions'!$E$29</x:f>
        <x:v>68.625</x:v>
      </x:c>
      <x:c r="H88" s="18" t="n">
        <x:f>SUM(H69:H87)+'Assumptions'!$E$29</x:f>
        <x:v>98.27106666666667</x:v>
      </x:c>
      <x:c r="I88" s="18" t="n">
        <x:f>SUM(I69:I87)+'Assumptions'!$E$29</x:f>
        <x:v>143.281</x:v>
      </x:c>
      <x:c r="J88" s="18" t="n">
        <x:f>SUM(J69:J87)+'Assumptions'!$E$29</x:f>
        <x:v>174.31566666666666</x:v>
      </x:c>
      <x:c r="K88" s="18" t="n">
        <x:f>SUM(K69:K87)+'Assumptions'!$E$29</x:f>
        <x:v>224.36833333333334</x:v>
      </x:c>
      <x:c r="L88" s="18" t="n">
        <x:f>SUM(L69:L87)+'Assumptions'!$E$29</x:f>
        <x:v>272.65000000000003</x:v>
      </x:c>
      <x:c r="M88" s="18" t="n">
        <x:f>SUM(M69:M87)+'Assumptions'!$E$29</x:f>
        <x:v>318.1206666666667</x:v>
      </x:c>
      <x:c r="N88" s="18" t="n">
        <x:f>SUM(N69:N87)+'Assumptions'!$E$29</x:f>
        <x:v>353.11726666666664</x:v>
      </x:c>
      <x:c r="O88" s="18" t="n">
        <x:f>SUM(O69:O87)+'Assumptions'!$E$29</x:f>
        <x:v>415.028425</x:v>
      </x:c>
      <x:c r="P88" s="18" t="n">
        <x:f>SUM(P69:P87)+'Assumptions'!$E$29</x:f>
        <x:v>457.4315833333334</x:v>
      </x:c>
      <x:c r="Q88" s="18" t="n">
        <x:f>SUM(Q69:Q87)+'Assumptions'!$E$29</x:f>
        <x:v>448.84033333333343</x:v>
      </x:c>
    </x:row>
    <x:row r="89" ht="24" customHeight="1">
      <x:c r="A89" s="1"/>
      <x:c r="B89" s="1"/>
      <x:c r="C89" s="17" t="str">
        <x:v>External service budget (GBP)</x:v>
      </x:c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</x:row>
    <x:row r="90" ht="21" customHeight="1">
      <x:c r="A90" s="1"/>
      <x:c r="B90" s="1"/>
      <x:c r="C90" s="1" t="str">
        <x:v>Website and other tools (USD)</x:v>
      </x:c>
      <x:c r="D90" s="18" t="n">
        <x:f>SUM(F90:Q90)</x:f>
        <x:v>746.8</x:v>
      </x:c>
      <x:c r="E90" s="18"/>
      <x:c r="F90" s="18" t="n">
        <x:f>'Assumptions'!$E$49+'Assumptions'!$E$50+F8*'Assumptions'!$E$51+'Assumptions'!$E$52+'Assumptions'!$E$53*125</x:f>
        <x:v>44</x:v>
      </x:c>
      <x:c r="G90" s="18" t="n">
        <x:f>'Assumptions'!$E$49+'Assumptions'!$E$50+G8*'Assumptions'!$E$51+'Assumptions'!$E$52+'Assumptions'!$E$53*125</x:f>
        <x:v>46</x:v>
      </x:c>
      <x:c r="H90" s="18" t="n">
        <x:f>'Assumptions'!$E$49+'Assumptions'!$E$50+H8*'Assumptions'!$E$51+'Assumptions'!$E$52+'Assumptions'!$E$53*125</x:f>
        <x:v>48.8</x:v>
      </x:c>
      <x:c r="I90" s="18" t="n">
        <x:f>'Assumptions'!$E$49+'Assumptions'!$E$50+I8*'Assumptions'!$E$51+'Assumptions'!$E$52+'Assumptions'!$E$53*125</x:f>
        <x:v>52</x:v>
      </x:c>
      <x:c r="J90" s="18" t="n">
        <x:f>'Assumptions'!$E$49+'Assumptions'!$E$50+J8*'Assumptions'!$E$51+'Assumptions'!$E$52+'Assumptions'!$E$53*125</x:f>
        <x:v>56</x:v>
      </x:c>
      <x:c r="K90" s="18" t="n">
        <x:f>'Assumptions'!$E$49+'Assumptions'!$E$50+K8*'Assumptions'!$E$51+'Assumptions'!$E$52+'Assumptions'!$E$53*125</x:f>
        <x:v>60</x:v>
      </x:c>
      <x:c r="L90" s="18" t="n">
        <x:f>'Assumptions'!$E$49+'Assumptions'!$E$50+L8*'Assumptions'!$E$51+'Assumptions'!$E$52+'Assumptions'!$E$53*125</x:f>
        <x:v>64</x:v>
      </x:c>
      <x:c r="M90" s="18" t="n">
        <x:f>'Assumptions'!$E$49+'Assumptions'!$E$50+M8*'Assumptions'!$E$51+'Assumptions'!$E$52+'Assumptions'!$E$53*125</x:f>
        <x:v>68</x:v>
      </x:c>
      <x:c r="N90" s="18" t="n">
        <x:f>'Assumptions'!$E$49+'Assumptions'!$E$50+N8*'Assumptions'!$E$51+'Assumptions'!$E$52+'Assumptions'!$E$53*125</x:f>
        <x:v>72</x:v>
      </x:c>
      <x:c r="O90" s="18" t="n">
        <x:f>'Assumptions'!$E$49+'Assumptions'!$E$50+O8*'Assumptions'!$E$51+'Assumptions'!$E$52+'Assumptions'!$E$53*125</x:f>
        <x:v>76</x:v>
      </x:c>
      <x:c r="P90" s="18" t="n">
        <x:f>'Assumptions'!$E$49+'Assumptions'!$E$50+P8*'Assumptions'!$E$51+'Assumptions'!$E$52+'Assumptions'!$E$53*125</x:f>
        <x:v>80</x:v>
      </x:c>
      <x:c r="Q90" s="18" t="n">
        <x:f>'Assumptions'!$E$49+'Assumptions'!$E$50+Q8*'Assumptions'!$E$51+'Assumptions'!$E$52+'Assumptions'!$E$53*125</x:f>
        <x:v>80</x:v>
      </x:c>
    </x:row>
    <x:row r="91" ht="21" customHeight="1">
      <x:c r="A91" s="1"/>
      <x:c r="B91" s="1"/>
      <x:c r="C91" s="1" t="str">
        <x:v>Quoted hybrid tunnel cost (USD)</x:v>
      </x:c>
      <x:c r="D91" s="18" t="n">
        <x:f>SUM(F91:Q91)</x:f>
        <x:v>0</x:v>
      </x:c>
      <x:c r="E91" s="18"/>
      <x:c r="F91" s="18" t="n">
        <x:f>IF('Assumptions'!$E$4=4,F8*'Assumptions'!$E$54*'Assumptions'!$E$55,0)</x:f>
        <x:v>0</x:v>
      </x:c>
      <x:c r="G91" s="18" t="n">
        <x:f>IF('Assumptions'!$E$4=4,G8*'Assumptions'!$E$54*'Assumptions'!$E$55,0)</x:f>
        <x:v>0</x:v>
      </x:c>
      <x:c r="H91" s="18" t="n">
        <x:f>IF('Assumptions'!$E$4=4,H8*'Assumptions'!$E$54*'Assumptions'!$E$55,0)</x:f>
        <x:v>0</x:v>
      </x:c>
      <x:c r="I91" s="18" t="n">
        <x:f>IF('Assumptions'!$E$4=4,I8*'Assumptions'!$E$54*'Assumptions'!$E$55,0)</x:f>
        <x:v>0</x:v>
      </x:c>
      <x:c r="J91" s="18" t="n">
        <x:f>IF('Assumptions'!$E$4=4,J8*'Assumptions'!$E$54*'Assumptions'!$E$55,0)</x:f>
        <x:v>0</x:v>
      </x:c>
      <x:c r="K91" s="18" t="n">
        <x:f>IF('Assumptions'!$E$4=4,K8*'Assumptions'!$E$54*'Assumptions'!$E$55,0)</x:f>
        <x:v>0</x:v>
      </x:c>
      <x:c r="L91" s="18" t="n">
        <x:f>IF('Assumptions'!$E$4=4,L8*'Assumptions'!$E$54*'Assumptions'!$E$55,0)</x:f>
        <x:v>0</x:v>
      </x:c>
      <x:c r="M91" s="18" t="n">
        <x:f>IF('Assumptions'!$E$4=4,M8*'Assumptions'!$E$54*'Assumptions'!$E$55,0)</x:f>
        <x:v>0</x:v>
      </x:c>
      <x:c r="N91" s="18" t="n">
        <x:f>IF('Assumptions'!$E$4=4,N8*'Assumptions'!$E$54*'Assumptions'!$E$55,0)</x:f>
        <x:v>0</x:v>
      </x:c>
      <x:c r="O91" s="18" t="n">
        <x:f>IF('Assumptions'!$E$4=4,O8*'Assumptions'!$E$54*'Assumptions'!$E$55,0)</x:f>
        <x:v>0</x:v>
      </x:c>
      <x:c r="P91" s="18" t="n">
        <x:f>IF('Assumptions'!$E$4=4,P8*'Assumptions'!$E$54*'Assumptions'!$E$55,0)</x:f>
        <x:v>0</x:v>
      </x:c>
      <x:c r="Q91" s="18" t="n">
        <x:f>IF('Assumptions'!$E$4=4,Q8*'Assumptions'!$E$54*'Assumptions'!$E$55,0)</x:f>
        <x:v>0</x:v>
      </x:c>
    </x:row>
    <x:row r="92" ht="21" customHeight="1">
      <x:c r="A92" s="1"/>
      <x:c r="B92" s="1"/>
      <x:c r="C92" s="1" t="str">
        <x:v>Free service external spend (GBP)</x:v>
      </x:c>
      <x:c r="D92" s="26" t="n">
        <x:f>SUM(F92:Q92)</x:f>
        <x:v>2826.3577562500004</x:v>
      </x:c>
      <x:c r="E92" s="26"/>
      <x:c r="F92" s="26" t="n">
        <x:f>SUM(F67,F90,F91)*'Assumptions'!$E$31</x:f>
        <x:v>68.72075000000001</x:v>
      </x:c>
      <x:c r="G92" s="26" t="n">
        <x:f>SUM(G67,G90,G91)*'Assumptions'!$E$31</x:f>
        <x:v>85.96875</x:v>
      </x:c>
      <x:c r="H92" s="26" t="n">
        <x:f>SUM(H67,H90,H91)*'Assumptions'!$E$31</x:f>
        <x:v>110.30330000000001</x:v>
      </x:c>
      <x:c r="I92" s="26" t="n">
        <x:f>SUM(I67,I90,I91)*'Assumptions'!$E$31</x:f>
        <x:v>146.46075000000002</x:v>
      </x:c>
      <x:c r="J92" s="26" t="n">
        <x:f>SUM(J67,J90,J91)*'Assumptions'!$E$31</x:f>
        <x:v>172.73675</x:v>
      </x:c>
      <x:c r="K92" s="26" t="n">
        <x:f>SUM(K67,K90,K91)*'Assumptions'!$E$31</x:f>
        <x:v>213.27625</x:v>
      </x:c>
      <x:c r="L92" s="26" t="n">
        <x:f>SUM(L67,L90,L91)*'Assumptions'!$E$31</x:f>
        <x:v>252.4875</x:v>
      </x:c>
      <x:c r="M92" s="26" t="n">
        <x:f>SUM(M67,M90,M91)*'Assumptions'!$E$31</x:f>
        <x:v>289.5905</x:v>
      </x:c>
      <x:c r="N92" s="26" t="n">
        <x:f>SUM(N67,N90,N91)*'Assumptions'!$E$31</x:f>
        <x:v>318.83795</x:v>
      </x:c>
      <x:c r="O92" s="26" t="n">
        <x:f>SUM(O67,O90,O91)*'Assumptions'!$E$31</x:f>
        <x:v>368.27131875000003</x:v>
      </x:c>
      <x:c r="P92" s="26" t="n">
        <x:f>SUM(P67,P90,P91)*'Assumptions'!$E$31</x:f>
        <x:v>403.0736875</x:v>
      </x:c>
      <x:c r="Q92" s="26" t="n">
        <x:f>SUM(Q67,Q90,Q91)*'Assumptions'!$E$31</x:f>
        <x:v>396.63025000000005</x:v>
      </x:c>
    </x:row>
    <x:row r="93" ht="21" customHeight="1">
      <x:c r="A93" s="1"/>
      <x:c r="B93" s="1"/>
      <x:c r="C93" s="1" t="str">
        <x:v>Incremental Agents provider spend (GBP)</x:v>
      </x:c>
      <x:c r="D93" s="26" t="n">
        <x:f>SUM(F93:Q93)</x:f>
        <x:v>0</x:v>
      </x:c>
      <x:c r="E93" s="26"/>
      <x:c r="F93" s="26" t="n">
        <x:f>(F88-F67)*'Assumptions'!$E$31</x:f>
        <x:v>0</x:v>
      </x:c>
      <x:c r="G93" s="26" t="n">
        <x:f>(G88-G67)*'Assumptions'!$E$31</x:f>
        <x:v>0</x:v>
      </x:c>
      <x:c r="H93" s="26" t="n">
        <x:f>(H88-H67)*'Assumptions'!$E$31</x:f>
        <x:v>0</x:v>
      </x:c>
      <x:c r="I93" s="26" t="n">
        <x:f>(I88-I67)*'Assumptions'!$E$31</x:f>
        <x:v>0</x:v>
      </x:c>
      <x:c r="J93" s="26" t="n">
        <x:f>(J88-J67)*'Assumptions'!$E$31</x:f>
        <x:v>0</x:v>
      </x:c>
      <x:c r="K93" s="26" t="n">
        <x:f>(K88-K67)*'Assumptions'!$E$31</x:f>
        <x:v>0</x:v>
      </x:c>
      <x:c r="L93" s="26" t="n">
        <x:f>(L88-L67)*'Assumptions'!$E$31</x:f>
        <x:v>0</x:v>
      </x:c>
      <x:c r="M93" s="26" t="n">
        <x:f>(M88-M67)*'Assumptions'!$E$31</x:f>
        <x:v>0</x:v>
      </x:c>
      <x:c r="N93" s="26" t="n">
        <x:f>(N88-N67)*'Assumptions'!$E$31</x:f>
        <x:v>0</x:v>
      </x:c>
      <x:c r="O93" s="26" t="n">
        <x:f>(O88-O67)*'Assumptions'!$E$31</x:f>
        <x:v>0</x:v>
      </x:c>
      <x:c r="P93" s="26" t="n">
        <x:f>(P88-P67)*'Assumptions'!$E$31</x:f>
        <x:v>0</x:v>
      </x:c>
      <x:c r="Q93" s="26" t="n">
        <x:f>(Q88-Q67)*'Assumptions'!$E$31</x:f>
        <x:v>0</x:v>
      </x:c>
    </x:row>
    <x:row r="94" ht="24" customHeight="1">
      <x:c r="A94" s="1"/>
      <x:c r="B94" s="1"/>
      <x:c r="C94" s="17" t="str">
        <x:v>Future hosted execution economics (GBP)</x:v>
      </x:c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</x:row>
    <x:row r="95" ht="21" customHeight="1">
      <x:c r="A95" s="1"/>
      <x:c r="B95" s="1"/>
      <x:c r="C95" s="1" t="str">
        <x:v>Execution revenue earned</x:v>
      </x:c>
      <x:c r="D95" s="26" t="n">
        <x:f>SUM(F95:Q95)</x:f>
        <x:v>0</x:v>
      </x:c>
      <x:c r="E95" s="26"/>
      <x:c r="F95" s="26" t="n">
        <x:f>F13*'Assumptions'!$E$71</x:f>
        <x:v>0</x:v>
      </x:c>
      <x:c r="G95" s="26" t="n">
        <x:f>G13*'Assumptions'!$E$71</x:f>
        <x:v>0</x:v>
      </x:c>
      <x:c r="H95" s="26" t="n">
        <x:f>H13*'Assumptions'!$E$71</x:f>
        <x:v>0</x:v>
      </x:c>
      <x:c r="I95" s="26" t="n">
        <x:f>I13*'Assumptions'!$E$71</x:f>
        <x:v>0</x:v>
      </x:c>
      <x:c r="J95" s="26" t="n">
        <x:f>J13*'Assumptions'!$E$71</x:f>
        <x:v>0</x:v>
      </x:c>
      <x:c r="K95" s="26" t="n">
        <x:f>K13*'Assumptions'!$E$71</x:f>
        <x:v>0</x:v>
      </x:c>
      <x:c r="L95" s="26" t="n">
        <x:f>L13*'Assumptions'!$E$71</x:f>
        <x:v>0</x:v>
      </x:c>
      <x:c r="M95" s="26" t="n">
        <x:f>M13*'Assumptions'!$E$71</x:f>
        <x:v>0</x:v>
      </x:c>
      <x:c r="N95" s="26" t="n">
        <x:f>N13*'Assumptions'!$E$71</x:f>
        <x:v>0</x:v>
      </x:c>
      <x:c r="O95" s="26" t="n">
        <x:f>O13*'Assumptions'!$E$71</x:f>
        <x:v>0</x:v>
      </x:c>
      <x:c r="P95" s="26" t="n">
        <x:f>P13*'Assumptions'!$E$71</x:f>
        <x:v>0</x:v>
      </x:c>
      <x:c r="Q95" s="26" t="n">
        <x:f>Q13*'Assumptions'!$E$71</x:f>
        <x:v>0</x:v>
      </x:c>
    </x:row>
    <x:row r="96" ht="21" customHeight="1">
      <x:c r="A96" s="1"/>
      <x:c r="B96" s="1"/>
      <x:c r="C96" s="1" t="str">
        <x:v>Allocated payment and Billing fees</x:v>
      </x:c>
      <x:c r="D96" s="26" t="n">
        <x:f>SUM(F96:Q96)</x:f>
        <x:v>0</x:v>
      </x:c>
      <x:c r="E96" s="26"/>
      <x:c r="F96" s="26" t="n">
        <x:f>F95*('Assumptions'!$E$83+'Assumptions'!$E$84/'Assumptions'!$E$85+'Assumptions'!$E$86)</x:f>
        <x:v>0</x:v>
      </x:c>
      <x:c r="G96" s="26" t="n">
        <x:f>G95*('Assumptions'!$E$83+'Assumptions'!$E$84/'Assumptions'!$E$85+'Assumptions'!$E$86)</x:f>
        <x:v>0</x:v>
      </x:c>
      <x:c r="H96" s="26" t="n">
        <x:f>H95*('Assumptions'!$E$83+'Assumptions'!$E$84/'Assumptions'!$E$85+'Assumptions'!$E$86)</x:f>
        <x:v>0</x:v>
      </x:c>
      <x:c r="I96" s="26" t="n">
        <x:f>I95*('Assumptions'!$E$83+'Assumptions'!$E$84/'Assumptions'!$E$85+'Assumptions'!$E$86)</x:f>
        <x:v>0</x:v>
      </x:c>
      <x:c r="J96" s="26" t="n">
        <x:f>J95*('Assumptions'!$E$83+'Assumptions'!$E$84/'Assumptions'!$E$85+'Assumptions'!$E$86)</x:f>
        <x:v>0</x:v>
      </x:c>
      <x:c r="K96" s="26" t="n">
        <x:f>K95*('Assumptions'!$E$83+'Assumptions'!$E$84/'Assumptions'!$E$85+'Assumptions'!$E$86)</x:f>
        <x:v>0</x:v>
      </x:c>
      <x:c r="L96" s="26" t="n">
        <x:f>L95*('Assumptions'!$E$83+'Assumptions'!$E$84/'Assumptions'!$E$85+'Assumptions'!$E$86)</x:f>
        <x:v>0</x:v>
      </x:c>
      <x:c r="M96" s="26" t="n">
        <x:f>M95*('Assumptions'!$E$83+'Assumptions'!$E$84/'Assumptions'!$E$85+'Assumptions'!$E$86)</x:f>
        <x:v>0</x:v>
      </x:c>
      <x:c r="N96" s="26" t="n">
        <x:f>N95*('Assumptions'!$E$83+'Assumptions'!$E$84/'Assumptions'!$E$85+'Assumptions'!$E$86)</x:f>
        <x:v>0</x:v>
      </x:c>
      <x:c r="O96" s="26" t="n">
        <x:f>O95*('Assumptions'!$E$83+'Assumptions'!$E$84/'Assumptions'!$E$85+'Assumptions'!$E$86)</x:f>
        <x:v>0</x:v>
      </x:c>
      <x:c r="P96" s="26" t="n">
        <x:f>P95*('Assumptions'!$E$83+'Assumptions'!$E$84/'Assumptions'!$E$85+'Assumptions'!$E$86)</x:f>
        <x:v>0</x:v>
      </x:c>
      <x:c r="Q96" s="26" t="n">
        <x:f>Q95*('Assumptions'!$E$83+'Assumptions'!$E$84/'Assumptions'!$E$85+'Assumptions'!$E$86)</x:f>
        <x:v>0</x:v>
      </x:c>
    </x:row>
    <x:row r="97" ht="21" customHeight="1">
      <x:c r="A97" s="1"/>
      <x:c r="B97" s="1"/>
      <x:c r="C97" s="1" t="str">
        <x:v>Refund and fraud reserve</x:v>
      </x:c>
      <x:c r="D97" s="26" t="n">
        <x:f>SUM(F97:Q97)</x:f>
        <x:v>0</x:v>
      </x:c>
      <x:c r="E97" s="26"/>
      <x:c r="F97" s="26" t="n">
        <x:f>F95*'Assumptions'!$E$87</x:f>
        <x:v>0</x:v>
      </x:c>
      <x:c r="G97" s="26" t="n">
        <x:f>G95*'Assumptions'!$E$87</x:f>
        <x:v>0</x:v>
      </x:c>
      <x:c r="H97" s="26" t="n">
        <x:f>H95*'Assumptions'!$E$87</x:f>
        <x:v>0</x:v>
      </x:c>
      <x:c r="I97" s="26" t="n">
        <x:f>I95*'Assumptions'!$E$87</x:f>
        <x:v>0</x:v>
      </x:c>
      <x:c r="J97" s="26" t="n">
        <x:f>J95*'Assumptions'!$E$87</x:f>
        <x:v>0</x:v>
      </x:c>
      <x:c r="K97" s="26" t="n">
        <x:f>K95*'Assumptions'!$E$87</x:f>
        <x:v>0</x:v>
      </x:c>
      <x:c r="L97" s="26" t="n">
        <x:f>L95*'Assumptions'!$E$87</x:f>
        <x:v>0</x:v>
      </x:c>
      <x:c r="M97" s="26" t="n">
        <x:f>M95*'Assumptions'!$E$87</x:f>
        <x:v>0</x:v>
      </x:c>
      <x:c r="N97" s="26" t="n">
        <x:f>N95*'Assumptions'!$E$87</x:f>
        <x:v>0</x:v>
      </x:c>
      <x:c r="O97" s="26" t="n">
        <x:f>O95*'Assumptions'!$E$87</x:f>
        <x:v>0</x:v>
      </x:c>
      <x:c r="P97" s="26" t="n">
        <x:f>P95*'Assumptions'!$E$87</x:f>
        <x:v>0</x:v>
      </x:c>
      <x:c r="Q97" s="26" t="n">
        <x:f>Q95*'Assumptions'!$E$87</x:f>
        <x:v>0</x:v>
      </x:c>
    </x:row>
    <x:row r="98" ht="21" customHeight="1">
      <x:c r="A98" s="1"/>
      <x:c r="B98" s="1"/>
      <x:c r="C98" s="1" t="str">
        <x:v>Buyer support allocation</x:v>
      </x:c>
      <x:c r="D98" s="26" t="n">
        <x:f>SUM(F98:Q98)</x:f>
        <x:v>0</x:v>
      </x:c>
      <x:c r="E98" s="26"/>
      <x:c r="F98" s="26" t="n">
        <x:f>F12*'Assumptions'!$E$88</x:f>
        <x:v>0</x:v>
      </x:c>
      <x:c r="G98" s="26" t="n">
        <x:f>G12*'Assumptions'!$E$88</x:f>
        <x:v>0</x:v>
      </x:c>
      <x:c r="H98" s="26" t="n">
        <x:f>H12*'Assumptions'!$E$88</x:f>
        <x:v>0</x:v>
      </x:c>
      <x:c r="I98" s="26" t="n">
        <x:f>I12*'Assumptions'!$E$88</x:f>
        <x:v>0</x:v>
      </x:c>
      <x:c r="J98" s="26" t="n">
        <x:f>J12*'Assumptions'!$E$88</x:f>
        <x:v>0</x:v>
      </x:c>
      <x:c r="K98" s="26" t="n">
        <x:f>K12*'Assumptions'!$E$88</x:f>
        <x:v>0</x:v>
      </x:c>
      <x:c r="L98" s="26" t="n">
        <x:f>L12*'Assumptions'!$E$88</x:f>
        <x:v>0</x:v>
      </x:c>
      <x:c r="M98" s="26" t="n">
        <x:f>M12*'Assumptions'!$E$88</x:f>
        <x:v>0</x:v>
      </x:c>
      <x:c r="N98" s="26" t="n">
        <x:f>N12*'Assumptions'!$E$88</x:f>
        <x:v>0</x:v>
      </x:c>
      <x:c r="O98" s="26" t="n">
        <x:f>O12*'Assumptions'!$E$88</x:f>
        <x:v>0</x:v>
      </x:c>
      <x:c r="P98" s="26" t="n">
        <x:f>P12*'Assumptions'!$E$88</x:f>
        <x:v>0</x:v>
      </x:c>
      <x:c r="Q98" s="26" t="n">
        <x:f>Q12*'Assumptions'!$E$88</x:f>
        <x:v>0</x:v>
      </x:c>
    </x:row>
    <x:row r="99" ht="21" customHeight="1">
      <x:c r="A99" s="1"/>
      <x:c r="B99" s="1"/>
      <x:c r="C99" s="1" t="str">
        <x:v>Agents contribution to free service</x:v>
      </x:c>
      <x:c r="D99" s="26" t="n">
        <x:f>SUM(F99:Q99)</x:f>
        <x:v>0</x:v>
      </x:c>
      <x:c r="E99" s="26"/>
      <x:c r="F99" s="26" t="n">
        <x:f>F95-SUM(F93,F96,F97,F98)</x:f>
        <x:v>0</x:v>
      </x:c>
      <x:c r="G99" s="26" t="n">
        <x:f>G95-SUM(G93,G96,G97,G98)</x:f>
        <x:v>0</x:v>
      </x:c>
      <x:c r="H99" s="26" t="n">
        <x:f>H95-SUM(H93,H96,H97,H98)</x:f>
        <x:v>0</x:v>
      </x:c>
      <x:c r="I99" s="26" t="n">
        <x:f>I95-SUM(I93,I96,I97,I98)</x:f>
        <x:v>0</x:v>
      </x:c>
      <x:c r="J99" s="26" t="n">
        <x:f>J95-SUM(J93,J96,J97,J98)</x:f>
        <x:v>0</x:v>
      </x:c>
      <x:c r="K99" s="26" t="n">
        <x:f>K95-SUM(K93,K96,K97,K98)</x:f>
        <x:v>0</x:v>
      </x:c>
      <x:c r="L99" s="26" t="n">
        <x:f>L95-SUM(L93,L96,L97,L98)</x:f>
        <x:v>0</x:v>
      </x:c>
      <x:c r="M99" s="26" t="n">
        <x:f>M95-SUM(M93,M96,M97,M98)</x:f>
        <x:v>0</x:v>
      </x:c>
      <x:c r="N99" s="26" t="n">
        <x:f>N95-SUM(N93,N96,N97,N98)</x:f>
        <x:v>0</x:v>
      </x:c>
      <x:c r="O99" s="26" t="n">
        <x:f>O95-SUM(O93,O96,O97,O98)</x:f>
        <x:v>0</x:v>
      </x:c>
      <x:c r="P99" s="26" t="n">
        <x:f>P95-SUM(P93,P96,P97,P98)</x:f>
        <x:v>0</x:v>
      </x:c>
      <x:c r="Q99" s="26" t="n">
        <x:f>Q95-SUM(Q93,Q96,Q97,Q98)</x:f>
        <x:v>0</x:v>
      </x:c>
    </x:row>
    <x:row r="100" ht="24" customHeight="1">
      <x:c r="A100" s="1"/>
      <x:c r="B100" s="1"/>
      <x:c r="C100" s="17" t="str">
        <x:v>Operator and support allocation (GBP)</x:v>
      </x:c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</x:row>
    <x:row r="101" ht="21" customHeight="1">
      <x:c r="A101" s="1"/>
      <x:c r="B101" s="1"/>
      <x:c r="C101" s="1" t="str">
        <x:v>Operator and incident time</x:v>
      </x:c>
      <x:c r="D101" s="26" t="n">
        <x:f>SUM(F101:Q101)</x:f>
        <x:v>8640</x:v>
      </x:c>
      <x:c r="E101" s="26"/>
      <x:c r="F101" s="26" t="n">
        <x:f>('Assumptions'!$E$57+'Assumptions'!$E$58)*'Assumptions'!$E$59</x:f>
        <x:v>720</x:v>
      </x:c>
      <x:c r="G101" s="26" t="n">
        <x:f>('Assumptions'!$E$57+'Assumptions'!$E$58)*'Assumptions'!$E$59</x:f>
        <x:v>720</x:v>
      </x:c>
      <x:c r="H101" s="26" t="n">
        <x:f>('Assumptions'!$E$57+'Assumptions'!$E$58)*'Assumptions'!$E$59</x:f>
        <x:v>720</x:v>
      </x:c>
      <x:c r="I101" s="26" t="n">
        <x:f>('Assumptions'!$E$57+'Assumptions'!$E$58)*'Assumptions'!$E$59</x:f>
        <x:v>720</x:v>
      </x:c>
      <x:c r="J101" s="26" t="n">
        <x:f>('Assumptions'!$E$57+'Assumptions'!$E$58)*'Assumptions'!$E$59</x:f>
        <x:v>720</x:v>
      </x:c>
      <x:c r="K101" s="26" t="n">
        <x:f>('Assumptions'!$E$57+'Assumptions'!$E$58)*'Assumptions'!$E$59</x:f>
        <x:v>720</x:v>
      </x:c>
      <x:c r="L101" s="26" t="n">
        <x:f>('Assumptions'!$E$57+'Assumptions'!$E$58)*'Assumptions'!$E$59</x:f>
        <x:v>720</x:v>
      </x:c>
      <x:c r="M101" s="26" t="n">
        <x:f>('Assumptions'!$E$57+'Assumptions'!$E$58)*'Assumptions'!$E$59</x:f>
        <x:v>720</x:v>
      </x:c>
      <x:c r="N101" s="26" t="n">
        <x:f>('Assumptions'!$E$57+'Assumptions'!$E$58)*'Assumptions'!$E$59</x:f>
        <x:v>720</x:v>
      </x:c>
      <x:c r="O101" s="26" t="n">
        <x:f>('Assumptions'!$E$57+'Assumptions'!$E$58)*'Assumptions'!$E$59</x:f>
        <x:v>720</x:v>
      </x:c>
      <x:c r="P101" s="26" t="n">
        <x:f>('Assumptions'!$E$57+'Assumptions'!$E$58)*'Assumptions'!$E$59</x:f>
        <x:v>720</x:v>
      </x:c>
      <x:c r="Q101" s="26" t="n">
        <x:f>('Assumptions'!$E$57+'Assumptions'!$E$58)*'Assumptions'!$E$59</x:f>
        <x:v>720</x:v>
      </x:c>
    </x:row>
    <x:row r="102" ht="21" customHeight="1">
      <x:c r="A102" s="1"/>
      <x:c r="B102" s="1"/>
      <x:c r="C102" s="1" t="str">
        <x:v>Free-user support time</x:v>
      </x:c>
      <x:c r="D102" s="26" t="n">
        <x:f>SUM(F102:Q102)</x:f>
        <x:v>5336</x:v>
      </x:c>
      <x:c r="E102" s="26"/>
      <x:c r="F102" s="26" t="n">
        <x:f>F8*'Assumptions'!$E$61*'Assumptions'!$E$62/60*'Assumptions'!$E$63</x:f>
        <x:v>80</x:v>
      </x:c>
      <x:c r="G102" s="26" t="n">
        <x:f>G8*'Assumptions'!$E$61*'Assumptions'!$E$62/60*'Assumptions'!$E$63</x:f>
        <x:v>120</x:v>
      </x:c>
      <x:c r="H102" s="26" t="n">
        <x:f>H8*'Assumptions'!$E$61*'Assumptions'!$E$62/60*'Assumptions'!$E$63</x:f>
        <x:v>176</x:v>
      </x:c>
      <x:c r="I102" s="26" t="n">
        <x:f>I8*'Assumptions'!$E$61*'Assumptions'!$E$62/60*'Assumptions'!$E$63</x:f>
        <x:v>240</x:v>
      </x:c>
      <x:c r="J102" s="26" t="n">
        <x:f>J8*'Assumptions'!$E$61*'Assumptions'!$E$62/60*'Assumptions'!$E$63</x:f>
        <x:v>320</x:v>
      </x:c>
      <x:c r="K102" s="26" t="n">
        <x:f>K8*'Assumptions'!$E$61*'Assumptions'!$E$62/60*'Assumptions'!$E$63</x:f>
        <x:v>400</x:v>
      </x:c>
      <x:c r="L102" s="26" t="n">
        <x:f>L8*'Assumptions'!$E$61*'Assumptions'!$E$62/60*'Assumptions'!$E$63</x:f>
        <x:v>480</x:v>
      </x:c>
      <x:c r="M102" s="26" t="n">
        <x:f>M8*'Assumptions'!$E$61*'Assumptions'!$E$62/60*'Assumptions'!$E$63</x:f>
        <x:v>560</x:v>
      </x:c>
      <x:c r="N102" s="26" t="n">
        <x:f>N8*'Assumptions'!$E$61*'Assumptions'!$E$62/60*'Assumptions'!$E$63</x:f>
        <x:v>640</x:v>
      </x:c>
      <x:c r="O102" s="26" t="n">
        <x:f>O8*'Assumptions'!$E$61*'Assumptions'!$E$62/60*'Assumptions'!$E$63</x:f>
        <x:v>720</x:v>
      </x:c>
      <x:c r="P102" s="26" t="n">
        <x:f>P8*'Assumptions'!$E$61*'Assumptions'!$E$62/60*'Assumptions'!$E$63</x:f>
        <x:v>800</x:v>
      </x:c>
      <x:c r="Q102" s="26" t="n">
        <x:f>Q8*'Assumptions'!$E$61*'Assumptions'!$E$62/60*'Assumptions'!$E$63</x:f>
        <x:v>800</x:v>
      </x:c>
    </x:row>
    <x:row r="103" ht="21" customHeight="1">
      <x:c r="A103" s="1"/>
      <x:c r="B103" s="1"/>
      <x:c r="C103" s="1" t="str">
        <x:v>One-time measurement work</x:v>
      </x:c>
      <x:c r="D103" s="26" t="n">
        <x:f>SUM(F103:Q103)</x:f>
        <x:v>1440</x:v>
      </x:c>
      <x:c r="E103" s="26"/>
      <x:c r="F103" s="26" t="n">
        <x:f>'Assumptions'!$E$60*'Assumptions'!$E$59</x:f>
        <x:v>1440</x:v>
      </x:c>
      <x:c r="G103" s="26" t="n">
        <x:f>0</x:f>
        <x:v>0</x:v>
      </x:c>
      <x:c r="H103" s="26" t="n">
        <x:f>0</x:f>
        <x:v>0</x:v>
      </x:c>
      <x:c r="I103" s="26" t="n">
        <x:f>0</x:f>
        <x:v>0</x:v>
      </x:c>
      <x:c r="J103" s="26" t="n">
        <x:f>0</x:f>
        <x:v>0</x:v>
      </x:c>
      <x:c r="K103" s="26" t="n">
        <x:f>0</x:f>
        <x:v>0</x:v>
      </x:c>
      <x:c r="L103" s="26" t="n">
        <x:f>0</x:f>
        <x:v>0</x:v>
      </x:c>
      <x:c r="M103" s="26" t="n">
        <x:f>0</x:f>
        <x:v>0</x:v>
      </x:c>
      <x:c r="N103" s="26" t="n">
        <x:f>0</x:f>
        <x:v>0</x:v>
      </x:c>
      <x:c r="O103" s="26" t="n">
        <x:f>0</x:f>
        <x:v>0</x:v>
      </x:c>
      <x:c r="P103" s="26" t="n">
        <x:f>0</x:f>
        <x:v>0</x:v>
      </x:c>
      <x:c r="Q103" s="26" t="n">
        <x:f>0</x:f>
        <x:v>0</x:v>
      </x:c>
    </x:row>
    <x:row r="104" ht="21" customHeight="1">
      <x:c r="A104" s="1"/>
      <x:c r="B104" s="1"/>
      <x:c r="C104" s="1" t="str">
        <x:v>Total cost including allocated time</x:v>
      </x:c>
      <x:c r="D104" s="26" t="n">
        <x:f>SUM(F104:Q104)</x:f>
        <x:v>18242.35775625</x:v>
      </x:c>
      <x:c r="E104" s="26"/>
      <x:c r="F104" s="26" t="n">
        <x:f>SUM(F92,F101,F102,F103)</x:f>
        <x:v>2308.72075</x:v>
      </x:c>
      <x:c r="G104" s="26" t="n">
        <x:f>SUM(G92,G101,G102,G103)</x:f>
        <x:v>925.96875</x:v>
      </x:c>
      <x:c r="H104" s="26" t="n">
        <x:f>SUM(H92,H101,H102,H103)</x:f>
        <x:v>1006.3033</x:v>
      </x:c>
      <x:c r="I104" s="26" t="n">
        <x:f>SUM(I92,I101,I102,I103)</x:f>
        <x:v>1106.46075</x:v>
      </x:c>
      <x:c r="J104" s="26" t="n">
        <x:f>SUM(J92,J101,J102,J103)</x:f>
        <x:v>1212.73675</x:v>
      </x:c>
      <x:c r="K104" s="26" t="n">
        <x:f>SUM(K92,K101,K102,K103)</x:f>
        <x:v>1333.27625</x:v>
      </x:c>
      <x:c r="L104" s="26" t="n">
        <x:f>SUM(L92,L101,L102,L103)</x:f>
        <x:v>1452.4875</x:v>
      </x:c>
      <x:c r="M104" s="26" t="n">
        <x:f>SUM(M92,M101,M102,M103)</x:f>
        <x:v>1569.5905</x:v>
      </x:c>
      <x:c r="N104" s="26" t="n">
        <x:f>SUM(N92,N101,N102,N103)</x:f>
        <x:v>1678.83795</x:v>
      </x:c>
      <x:c r="O104" s="26" t="n">
        <x:f>SUM(O92,O101,O102,O103)</x:f>
        <x:v>1808.27131875</x:v>
      </x:c>
      <x:c r="P104" s="26" t="n">
        <x:f>SUM(P92,P101,P102,P103)</x:f>
        <x:v>1923.0736875</x:v>
      </x:c>
      <x:c r="Q104" s="26" t="n">
        <x:f>SUM(Q92,Q101,Q102,Q103)</x:f>
        <x:v>1916.6302500000002</x:v>
      </x:c>
    </x:row>
    <x:row r="105" ht="21" customHeight="1">
      <x:c r="A105" s="1"/>
      <x:c r="B105" s="1"/>
      <x:c r="C105" s="1" t="str">
        <x:v>Cost after Agents contribution</x:v>
      </x:c>
      <x:c r="D105" s="26" t="n">
        <x:f>SUM(F105:Q105)</x:f>
        <x:v>18242.35775625</x:v>
      </x:c>
      <x:c r="E105" s="26"/>
      <x:c r="F105" s="26" t="n">
        <x:f>F104-F99</x:f>
        <x:v>2308.72075</x:v>
      </x:c>
      <x:c r="G105" s="26" t="n">
        <x:f>G104-G99</x:f>
        <x:v>925.96875</x:v>
      </x:c>
      <x:c r="H105" s="26" t="n">
        <x:f>H104-H99</x:f>
        <x:v>1006.3033</x:v>
      </x:c>
      <x:c r="I105" s="26" t="n">
        <x:f>I104-I99</x:f>
        <x:v>1106.46075</x:v>
      </x:c>
      <x:c r="J105" s="26" t="n">
        <x:f>J104-J99</x:f>
        <x:v>1212.73675</x:v>
      </x:c>
      <x:c r="K105" s="26" t="n">
        <x:f>K104-K99</x:f>
        <x:v>1333.27625</x:v>
      </x:c>
      <x:c r="L105" s="26" t="n">
        <x:f>L104-L99</x:f>
        <x:v>1452.4875</x:v>
      </x:c>
      <x:c r="M105" s="26" t="n">
        <x:f>M104-M99</x:f>
        <x:v>1569.5905</x:v>
      </x:c>
      <x:c r="N105" s="26" t="n">
        <x:f>N104-N99</x:f>
        <x:v>1678.83795</x:v>
      </x:c>
      <x:c r="O105" s="26" t="n">
        <x:f>O104-O99</x:f>
        <x:v>1808.27131875</x:v>
      </x:c>
      <x:c r="P105" s="26" t="n">
        <x:f>P104-P99</x:f>
        <x:v>1923.0736875</x:v>
      </x:c>
      <x:c r="Q105" s="26" t="n">
        <x:f>Q104-Q99</x:f>
        <x:v>1916.6302500000002</x:v>
      </x:c>
    </x:row>
    <x:row r="106" ht="21" customHeight="1">
      <x:c r="A106" s="1"/>
      <x:c r="B106" s="1"/>
      <x:c r="C106" s="1" t="str">
        <x:v>External-cost reserve incl. contingency</x:v>
      </x:c>
      <x:c r="D106" s="26" t="n">
        <x:f>SUM(F106:Q106)</x:f>
        <x:v>3532.9471953125003</x:v>
      </x:c>
      <x:c r="E106" s="26"/>
      <x:c r="F106" s="26" t="n">
        <x:f>F92*(1+'Assumptions'!$E$56)+SUM(F101,F102,F103)*'Assumptions'!$E$64</x:f>
        <x:v>85.90093750000001</x:v>
      </x:c>
      <x:c r="G106" s="26" t="n">
        <x:f>G92*(1+'Assumptions'!$E$56)+SUM(G101,G102,G103)*'Assumptions'!$E$64</x:f>
        <x:v>107.4609375</x:v>
      </x:c>
      <x:c r="H106" s="26" t="n">
        <x:f>H92*(1+'Assumptions'!$E$56)+SUM(H101,H102,H103)*'Assumptions'!$E$64</x:f>
        <x:v>137.87912500000002</x:v>
      </x:c>
      <x:c r="I106" s="26" t="n">
        <x:f>I92*(1+'Assumptions'!$E$56)+SUM(I101,I102,I103)*'Assumptions'!$E$64</x:f>
        <x:v>183.0759375</x:v>
      </x:c>
      <x:c r="J106" s="26" t="n">
        <x:f>J92*(1+'Assumptions'!$E$56)+SUM(J101,J102,J103)*'Assumptions'!$E$64</x:f>
        <x:v>215.9209375</x:v>
      </x:c>
      <x:c r="K106" s="26" t="n">
        <x:f>K92*(1+'Assumptions'!$E$56)+SUM(K101,K102,K103)*'Assumptions'!$E$64</x:f>
        <x:v>266.5953125</x:v>
      </x:c>
      <x:c r="L106" s="26" t="n">
        <x:f>L92*(1+'Assumptions'!$E$56)+SUM(L101,L102,L103)*'Assumptions'!$E$64</x:f>
        <x:v>315.609375</x:v>
      </x:c>
      <x:c r="M106" s="26" t="n">
        <x:f>M92*(1+'Assumptions'!$E$56)+SUM(M101,M102,M103)*'Assumptions'!$E$64</x:f>
        <x:v>361.988125</x:v>
      </x:c>
      <x:c r="N106" s="26" t="n">
        <x:f>N92*(1+'Assumptions'!$E$56)+SUM(N101,N102,N103)*'Assumptions'!$E$64</x:f>
        <x:v>398.5474375</x:v>
      </x:c>
      <x:c r="O106" s="26" t="n">
        <x:f>O92*(1+'Assumptions'!$E$56)+SUM(O101,O102,O103)*'Assumptions'!$E$64</x:f>
        <x:v>460.33914843750006</x:v>
      </x:c>
      <x:c r="P106" s="26" t="n">
        <x:f>P92*(1+'Assumptions'!$E$56)+SUM(P101,P102,P103)*'Assumptions'!$E$64</x:f>
        <x:v>503.842109375</x:v>
      </x:c>
      <x:c r="Q106" s="26" t="n">
        <x:f>Q92*(1+'Assumptions'!$E$56)+SUM(Q101,Q102,Q103)*'Assumptions'!$E$64</x:f>
        <x:v>495.7878125000001</x:v>
      </x:c>
    </x:row>
    <x:row r="107" ht="21" customHeight="1">
      <x:c r="A107" s="1"/>
      <x:c r="B107" s="1"/>
      <x:c r="C107" s="1" t="str">
        <x:v>External-cost reserve remaining</x:v>
      </x:c>
      <x:c r="D107" s="26" t="n">
        <x:f>Q107</x:f>
        <x:v>1467.0528046875002</x:v>
      </x:c>
      <x:c r="E107" s="26"/>
      <x:c r="F107" s="26" t="n">
        <x:f>'Assumptions'!$E$65-F106</x:f>
        <x:v>4914.0990625</x:v>
      </x:c>
      <x:c r="G107" s="26" t="n">
        <x:f>F107-G106</x:f>
        <x:v>4806.638125</x:v>
      </x:c>
      <x:c r="H107" s="26" t="n">
        <x:f>G107-H106</x:f>
        <x:v>4668.759</x:v>
      </x:c>
      <x:c r="I107" s="26" t="n">
        <x:f>H107-I106</x:f>
        <x:v>4485.6830625</x:v>
      </x:c>
      <x:c r="J107" s="26" t="n">
        <x:f>I107-J106</x:f>
        <x:v>4269.762125</x:v>
      </x:c>
      <x:c r="K107" s="26" t="n">
        <x:f>J107-K106</x:f>
        <x:v>4003.1668125</x:v>
      </x:c>
      <x:c r="L107" s="26" t="n">
        <x:f>K107-L106</x:f>
        <x:v>3687.5574375</x:v>
      </x:c>
      <x:c r="M107" s="26" t="n">
        <x:f>L107-M106</x:f>
        <x:v>3325.5693125000003</x:v>
      </x:c>
      <x:c r="N107" s="26" t="n">
        <x:f>M107-N106</x:f>
        <x:v>2927.0218750000004</x:v>
      </x:c>
      <x:c r="O107" s="26" t="n">
        <x:f>N107-O106</x:f>
        <x:v>2466.6827265625</x:v>
      </x:c>
      <x:c r="P107" s="26" t="n">
        <x:f>O107-P106</x:f>
        <x:v>1962.8406171875001</x:v>
      </x:c>
      <x:c r="Q107" s="26" t="n">
        <x:f>P107-Q106</x:f>
        <x:v>1467.0528046875002</x:v>
      </x:c>
    </x:row>
    <x:row r="108" ht="24" customHeight="1">
      <x:c r="A108" s="1"/>
      <x:c r="B108" s="1"/>
      <x:c r="C108" s="17" t="str">
        <x:v>Cloudflare credits (USD, grant coverage and invoice treatment assumed)</x:v>
      </x:c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</x:row>
    <x:row r="109" ht="21" customHeight="1">
      <x:c r="A109" s="1"/>
      <x:c r="B109" s="1"/>
      <x:c r="C109" s="1" t="str">
        <x:v>Opening credit balance</x:v>
      </x:c>
      <x:c r="D109" s="18" t="n">
        <x:f>F109</x:f>
        <x:v>10000</x:v>
      </x:c>
      <x:c r="E109" s="18"/>
      <x:c r="F109" s="18" t="n">
        <x:f>'Assumptions'!$E$27</x:f>
        <x:v>10000</x:v>
      </x:c>
      <x:c r="G109" s="18" t="n">
        <x:f>F113</x:f>
        <x:v>9952.372333333333</x:v>
      </x:c>
      <x:c r="H109" s="18" t="n">
        <x:f>G113</x:f>
        <x:v>9883.747333333333</x:v>
      </x:c>
      <x:c r="I109" s="18" t="n">
        <x:f>H113</x:f>
        <x:v>9785.476266666667</x:v>
      </x:c>
      <x:c r="J109" s="18" t="n">
        <x:f>I113</x:f>
        <x:v>9642.195266666666</x:v>
      </x:c>
      <x:c r="K109" s="18" t="n">
        <x:f>J113</x:f>
        <x:v>9467.879599999998</x:v>
      </x:c>
      <x:c r="L109" s="18" t="n">
        <x:f>K113</x:f>
        <x:v>9243.511266666665</x:v>
      </x:c>
      <x:c r="M109" s="18" t="n">
        <x:f>L113</x:f>
        <x:v>8970.861266666665</x:v>
      </x:c>
      <x:c r="N109" s="18" t="n">
        <x:f>M113</x:f>
        <x:v>8652.740599999997</x:v>
      </x:c>
      <x:c r="O109" s="18" t="n">
        <x:f>N113</x:f>
        <x:v>8299.623333333331</x:v>
      </x:c>
      <x:c r="P109" s="18" t="n">
        <x:f>O113</x:f>
        <x:v>7884.594908333331</x:v>
      </x:c>
      <x:c r="Q109" s="18" t="n">
        <x:f>P113</x:f>
        <x:v>7427.163324999998</x:v>
      </x:c>
    </x:row>
    <x:row r="110" ht="21" customHeight="1">
      <x:c r="A110" s="1"/>
      <x:c r="B110" s="1"/>
      <x:c r="C110" s="1" t="str">
        <x:v>Credit-eligible days in period</x:v>
      </x:c>
      <x:c r="D110" s="18" t="n">
        <x:f>SUM(F110:Q110)</x:f>
        <x:v>349</x:v>
      </x:c>
      <x:c r="E110" s="18"/>
      <x:c r="F110" s="18" t="n">
        <x:f>MAX(0,MIN(F9,'Assumptions'!$E$28-F$6))</x:f>
        <x:v>28</x:v>
      </x:c>
      <x:c r="G110" s="18" t="n">
        <x:f>MAX(0,MIN(G9,'Assumptions'!$E$28-G$6))</x:f>
        <x:v>30</x:v>
      </x:c>
      <x:c r="H110" s="18" t="n">
        <x:f>MAX(0,MIN(H9,'Assumptions'!$E$28-H$6))</x:f>
        <x:v>31</x:v>
      </x:c>
      <x:c r="I110" s="18" t="n">
        <x:f>MAX(0,MIN(I9,'Assumptions'!$E$28-I$6))</x:f>
        <x:v>31</x:v>
      </x:c>
      <x:c r="J110" s="18" t="n">
        <x:f>MAX(0,MIN(J9,'Assumptions'!$E$28-J$6))</x:f>
        <x:v>28</x:v>
      </x:c>
      <x:c r="K110" s="18" t="n">
        <x:f>MAX(0,MIN(K9,'Assumptions'!$E$28-K$6))</x:f>
        <x:v>31</x:v>
      </x:c>
      <x:c r="L110" s="18" t="n">
        <x:f>MAX(0,MIN(L9,'Assumptions'!$E$28-L$6))</x:f>
        <x:v>30</x:v>
      </x:c>
      <x:c r="M110" s="18" t="n">
        <x:f>MAX(0,MIN(M9,'Assumptions'!$E$28-M$6))</x:f>
        <x:v>31</x:v>
      </x:c>
      <x:c r="N110" s="18" t="n">
        <x:f>MAX(0,MIN(N9,'Assumptions'!$E$28-N$6))</x:f>
        <x:v>30</x:v>
      </x:c>
      <x:c r="O110" s="18" t="n">
        <x:f>MAX(0,MIN(O9,'Assumptions'!$E$28-O$6))</x:f>
        <x:v>31</x:v>
      </x:c>
      <x:c r="P110" s="18" t="n">
        <x:f>MAX(0,MIN(P9,'Assumptions'!$E$28-P$6))</x:f>
        <x:v>31</x:v>
      </x:c>
      <x:c r="Q110" s="18" t="n">
        <x:f>MAX(0,MIN(Q9,'Assumptions'!$E$28-Q$6))</x:f>
        <x:v>17</x:v>
      </x:c>
    </x:row>
    <x:row r="111" ht="21" customHeight="1">
      <x:c r="A111" s="1"/>
      <x:c r="B111" s="1"/>
      <x:c r="C111" s="1" t="str">
        <x:v>Cloudflare credit applied</x:v>
      </x:c>
      <x:c r="D111" s="18" t="n">
        <x:f>SUM(F111:Q111)</x:f>
        <x:v>2827.179530555556</x:v>
      </x:c>
      <x:c r="E111" s="18"/>
      <x:c r="F111" s="18" t="n">
        <x:f>MIN(F109,F88*F110/F9)</x:f>
        <x:v>47.62766666666668</x:v>
      </x:c>
      <x:c r="G111" s="18" t="n">
        <x:f>MIN(G109,G88*G110/G9)</x:f>
        <x:v>68.625</x:v>
      </x:c>
      <x:c r="H111" s="18" t="n">
        <x:f>MIN(H109,H88*H110/H9)</x:f>
        <x:v>98.27106666666667</x:v>
      </x:c>
      <x:c r="I111" s="18" t="n">
        <x:f>MIN(I109,I88*I110/I9)</x:f>
        <x:v>143.281</x:v>
      </x:c>
      <x:c r="J111" s="18" t="n">
        <x:f>MIN(J109,J88*J110/J9)</x:f>
        <x:v>174.31566666666666</x:v>
      </x:c>
      <x:c r="K111" s="18" t="n">
        <x:f>MIN(K109,K88*K110/K9)</x:f>
        <x:v>224.3683333333333</x:v>
      </x:c>
      <x:c r="L111" s="18" t="n">
        <x:f>MIN(L109,L88*L110/L9)</x:f>
        <x:v>272.65000000000003</x:v>
      </x:c>
      <x:c r="M111" s="18" t="n">
        <x:f>MIN(M109,M88*M110/M9)</x:f>
        <x:v>318.12066666666675</x:v>
      </x:c>
      <x:c r="N111" s="18" t="n">
        <x:f>MIN(N109,N88*N110/N9)</x:f>
        <x:v>353.1172666666667</x:v>
      </x:c>
      <x:c r="O111" s="18" t="n">
        <x:f>MIN(O109,O88*O110/O9)</x:f>
        <x:v>415.028425</x:v>
      </x:c>
      <x:c r="P111" s="18" t="n">
        <x:f>MIN(P109,P88*P110/P9)</x:f>
        <x:v>457.4315833333334</x:v>
      </x:c>
      <x:c r="Q111" s="18" t="n">
        <x:f>MIN(Q109,Q88*Q110/Q9)</x:f>
        <x:v>254.34285555555562</x:v>
      </x:c>
    </x:row>
    <x:row r="112" ht="21" customHeight="1">
      <x:c r="A112" s="1"/>
      <x:c r="B112" s="1"/>
      <x:c r="C112" s="1" t="str">
        <x:v>Unused credit expired</x:v>
      </x:c>
      <x:c r="D112" s="18" t="n">
        <x:f>SUM(F112:Q112)</x:f>
        <x:v>7172.820469444442</x:v>
      </x:c>
      <x:c r="E112" s="18"/>
      <x:c r="F112" s="18" t="n">
        <x:f>IF('Assumptions'!$E$28&lt;EOMONTH(F$6,0)+1,F109-F111,0)</x:f>
        <x:v>0</x:v>
      </x:c>
      <x:c r="G112" s="18" t="n">
        <x:f>IF('Assumptions'!$E$28&lt;EOMONTH(G$6,0)+1,G109-G111,0)</x:f>
        <x:v>0</x:v>
      </x:c>
      <x:c r="H112" s="18" t="n">
        <x:f>IF('Assumptions'!$E$28&lt;EOMONTH(H$6,0)+1,H109-H111,0)</x:f>
        <x:v>0</x:v>
      </x:c>
      <x:c r="I112" s="18" t="n">
        <x:f>IF('Assumptions'!$E$28&lt;EOMONTH(I$6,0)+1,I109-I111,0)</x:f>
        <x:v>0</x:v>
      </x:c>
      <x:c r="J112" s="18" t="n">
        <x:f>IF('Assumptions'!$E$28&lt;EOMONTH(J$6,0)+1,J109-J111,0)</x:f>
        <x:v>0</x:v>
      </x:c>
      <x:c r="K112" s="18" t="n">
        <x:f>IF('Assumptions'!$E$28&lt;EOMONTH(K$6,0)+1,K109-K111,0)</x:f>
        <x:v>0</x:v>
      </x:c>
      <x:c r="L112" s="18" t="n">
        <x:f>IF('Assumptions'!$E$28&lt;EOMONTH(L$6,0)+1,L109-L111,0)</x:f>
        <x:v>0</x:v>
      </x:c>
      <x:c r="M112" s="18" t="n">
        <x:f>IF('Assumptions'!$E$28&lt;EOMONTH(M$6,0)+1,M109-M111,0)</x:f>
        <x:v>0</x:v>
      </x:c>
      <x:c r="N112" s="18" t="n">
        <x:f>IF('Assumptions'!$E$28&lt;EOMONTH(N$6,0)+1,N109-N111,0)</x:f>
        <x:v>0</x:v>
      </x:c>
      <x:c r="O112" s="18" t="n">
        <x:f>IF('Assumptions'!$E$28&lt;EOMONTH(O$6,0)+1,O109-O111,0)</x:f>
        <x:v>0</x:v>
      </x:c>
      <x:c r="P112" s="18" t="n">
        <x:f>IF('Assumptions'!$E$28&lt;EOMONTH(P$6,0)+1,P109-P111,0)</x:f>
        <x:v>0</x:v>
      </x:c>
      <x:c r="Q112" s="18" t="n">
        <x:f>IF('Assumptions'!$E$28&lt;EOMONTH(Q$6,0)+1,Q109-Q111,0)</x:f>
        <x:v>7172.820469444442</x:v>
      </x:c>
    </x:row>
    <x:row r="113" ht="21" customHeight="1">
      <x:c r="A113" s="1"/>
      <x:c r="B113" s="1"/>
      <x:c r="C113" s="1" t="str">
        <x:v>Closing credit balance</x:v>
      </x:c>
      <x:c r="D113" s="18" t="n">
        <x:f>Q113</x:f>
        <x:v>0</x:v>
      </x:c>
      <x:c r="E113" s="18"/>
      <x:c r="F113" s="18" t="n">
        <x:f>F109-SUM(F111,F112)</x:f>
        <x:v>9952.372333333333</x:v>
      </x:c>
      <x:c r="G113" s="18" t="n">
        <x:f>G109-SUM(G111,G112)</x:f>
        <x:v>9883.747333333333</x:v>
      </x:c>
      <x:c r="H113" s="18" t="n">
        <x:f>H109-SUM(H111,H112)</x:f>
        <x:v>9785.476266666667</x:v>
      </x:c>
      <x:c r="I113" s="18" t="n">
        <x:f>I109-SUM(I111,I112)</x:f>
        <x:v>9642.195266666666</x:v>
      </x:c>
      <x:c r="J113" s="18" t="n">
        <x:f>J109-SUM(J111,J112)</x:f>
        <x:v>9467.879599999998</x:v>
      </x:c>
      <x:c r="K113" s="18" t="n">
        <x:f>K109-SUM(K111,K112)</x:f>
        <x:v>9243.511266666665</x:v>
      </x:c>
      <x:c r="L113" s="18" t="n">
        <x:f>L109-SUM(L111,L112)</x:f>
        <x:v>8970.861266666665</x:v>
      </x:c>
      <x:c r="M113" s="18" t="n">
        <x:f>M109-SUM(M111,M112)</x:f>
        <x:v>8652.740599999997</x:v>
      </x:c>
      <x:c r="N113" s="18" t="n">
        <x:f>N109-SUM(N111,N112)</x:f>
        <x:v>8299.623333333331</x:v>
      </x:c>
      <x:c r="O113" s="18" t="n">
        <x:f>O109-SUM(O111,O112)</x:f>
        <x:v>7884.594908333331</x:v>
      </x:c>
      <x:c r="P113" s="18" t="n">
        <x:f>P109-SUM(P111,P112)</x:f>
        <x:v>7427.163324999998</x:v>
      </x:c>
      <x:c r="Q113" s="18" t="n">
        <x:f>Q109-SUM(Q111,Q112)</x:f>
        <x:v>0</x:v>
      </x:c>
    </x:row>
    <x:row r="114" ht="21" customHeight="1">
      <x:c r="A114" s="1"/>
      <x:c r="B114" s="1"/>
      <x:c r="C114" s="1" t="str">
        <x:v>Cloudflare cash after credit (USD)</x:v>
      </x:c>
      <x:c r="D114" s="18" t="n">
        <x:f>SUM(F114:Q114)</x:f>
        <x:v>194.49747777777785</x:v>
      </x:c>
      <x:c r="E114" s="18"/>
      <x:c r="F114" s="18" t="n">
        <x:f>MAX(0,F88-F111)</x:f>
        <x:v>0</x:v>
      </x:c>
      <x:c r="G114" s="18" t="n">
        <x:f>MAX(0,G88-G111)</x:f>
        <x:v>0</x:v>
      </x:c>
      <x:c r="H114" s="18" t="n">
        <x:f>MAX(0,H88-H111)</x:f>
        <x:v>0</x:v>
      </x:c>
      <x:c r="I114" s="18" t="n">
        <x:f>MAX(0,I88-I111)</x:f>
        <x:v>0</x:v>
      </x:c>
      <x:c r="J114" s="18" t="n">
        <x:f>MAX(0,J88-J111)</x:f>
        <x:v>0</x:v>
      </x:c>
      <x:c r="K114" s="18" t="n">
        <x:f>MAX(0,K88-K111)</x:f>
        <x:v>2.842170943040401e-14</x:v>
      </x:c>
      <x:c r="L114" s="18" t="n">
        <x:f>MAX(0,L88-L111)</x:f>
        <x:v>0</x:v>
      </x:c>
      <x:c r="M114" s="18" t="n">
        <x:f>MAX(0,M88-M111)</x:f>
        <x:v>0</x:v>
      </x:c>
      <x:c r="N114" s="18" t="n">
        <x:f>MAX(0,N88-N111)</x:f>
        <x:v>0</x:v>
      </x:c>
      <x:c r="O114" s="18" t="n">
        <x:f>MAX(0,O88-O111)</x:f>
        <x:v>0</x:v>
      </x:c>
      <x:c r="P114" s="18" t="n">
        <x:f>MAX(0,P88-P111)</x:f>
        <x:v>0</x:v>
      </x:c>
      <x:c r="Q114" s="18" t="n">
        <x:f>MAX(0,Q88-Q111)</x:f>
        <x:v>194.49747777777782</x:v>
      </x:c>
    </x:row>
    <x:row r="115" ht="21" customHeight="1">
      <x:c r="A115" s="1"/>
      <x:c r="B115" s="1"/>
      <x:c r="C115" s="1" t="str">
        <x:v>Provider/tool cash after credit (GBP)</x:v>
      </x:c>
      <x:c r="D115" s="26" t="n">
        <x:f>SUM(F115:Q115)</x:f>
        <x:v>705.9731083333334</x:v>
      </x:c>
      <x:c r="E115" s="26"/>
      <x:c r="F115" s="26" t="n">
        <x:f>SUM(F114,F90,F91)*'Assumptions'!$E$31</x:f>
        <x:v>33</x:v>
      </x:c>
      <x:c r="G115" s="26" t="n">
        <x:f>SUM(G114,G90,G91)*'Assumptions'!$E$31</x:f>
        <x:v>34.5</x:v>
      </x:c>
      <x:c r="H115" s="26" t="n">
        <x:f>SUM(H114,H90,H91)*'Assumptions'!$E$31</x:f>
        <x:v>36.599999999999994</x:v>
      </x:c>
      <x:c r="I115" s="26" t="n">
        <x:f>SUM(I114,I90,I91)*'Assumptions'!$E$31</x:f>
        <x:v>39</x:v>
      </x:c>
      <x:c r="J115" s="26" t="n">
        <x:f>SUM(J114,J90,J91)*'Assumptions'!$E$31</x:f>
        <x:v>42</x:v>
      </x:c>
      <x:c r="K115" s="26" t="n">
        <x:f>SUM(K114,K90,K91)*'Assumptions'!$E$31</x:f>
        <x:v>45.00000000000002</x:v>
      </x:c>
      <x:c r="L115" s="26" t="n">
        <x:f>SUM(L114,L90,L91)*'Assumptions'!$E$31</x:f>
        <x:v>48</x:v>
      </x:c>
      <x:c r="M115" s="26" t="n">
        <x:f>SUM(M114,M90,M91)*'Assumptions'!$E$31</x:f>
        <x:v>51</x:v>
      </x:c>
      <x:c r="N115" s="26" t="n">
        <x:f>SUM(N114,N90,N91)*'Assumptions'!$E$31</x:f>
        <x:v>54</x:v>
      </x:c>
      <x:c r="O115" s="26" t="n">
        <x:f>SUM(O114,O90,O91)*'Assumptions'!$E$31</x:f>
        <x:v>57</x:v>
      </x:c>
      <x:c r="P115" s="26" t="n">
        <x:f>SUM(P114,P90,P91)*'Assumptions'!$E$31</x:f>
        <x:v>60</x:v>
      </x:c>
      <x:c r="Q115" s="26" t="n">
        <x:f>SUM(Q114,Q90,Q91)*'Assumptions'!$E$31</x:f>
        <x:v>205.87310833333336</x:v>
      </x:c>
    </x:row>
    <x:row r="116" ht="24" customHeight="1">
      <x:c r="A116" s="1"/>
      <x:c r="B116" s="1"/>
      <x:c r="C116" s="17" t="str">
        <x:v>Forecast review</x:v>
      </x:c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</x:row>
    <x:row r="117" ht="21" customHeight="1">
      <x:c r="A117" s="1"/>
      <x:c r="B117" s="1"/>
      <x:c r="C117" s="1" t="str">
        <x:v>User-share total less 100%</x:v>
      </x:c>
      <x:c r="D117" s="20" t="n">
        <x:f>Q117</x:f>
        <x:v>0</x:v>
      </x:c>
      <x:c r="E117" s="20"/>
      <x:c r="F117" s="20" t="n">
        <x:f>'Assumptions'!$E$24-1</x:f>
        <x:v>0</x:v>
      </x:c>
      <x:c r="G117" s="20" t="n">
        <x:f>'Assumptions'!$E$24-1</x:f>
        <x:v>0</x:v>
      </x:c>
      <x:c r="H117" s="20" t="n">
        <x:f>'Assumptions'!$E$24-1</x:f>
        <x:v>0</x:v>
      </x:c>
      <x:c r="I117" s="20" t="n">
        <x:f>'Assumptions'!$E$24-1</x:f>
        <x:v>0</x:v>
      </x:c>
      <x:c r="J117" s="20" t="n">
        <x:f>'Assumptions'!$E$24-1</x:f>
        <x:v>0</x:v>
      </x:c>
      <x:c r="K117" s="20" t="n">
        <x:f>'Assumptions'!$E$24-1</x:f>
        <x:v>0</x:v>
      </x:c>
      <x:c r="L117" s="20" t="n">
        <x:f>'Assumptions'!$E$24-1</x:f>
        <x:v>0</x:v>
      </x:c>
      <x:c r="M117" s="20" t="n">
        <x:f>'Assumptions'!$E$24-1</x:f>
        <x:v>0</x:v>
      </x:c>
      <x:c r="N117" s="20" t="n">
        <x:f>'Assumptions'!$E$24-1</x:f>
        <x:v>0</x:v>
      </x:c>
      <x:c r="O117" s="20" t="n">
        <x:f>'Assumptions'!$E$24-1</x:f>
        <x:v>0</x:v>
      </x:c>
      <x:c r="P117" s="20" t="n">
        <x:f>'Assumptions'!$E$24-1</x:f>
        <x:v>0</x:v>
      </x:c>
      <x:c r="Q117" s="20" t="n">
        <x:f>'Assumptions'!$E$24-1</x:f>
        <x:v>0</x:v>
      </x:c>
    </x:row>
    <x:row r="118" ht="21" customHeight="1">
      <x:c r="A118" s="1"/>
      <x:c r="B118" s="1"/>
      <x:c r="C118" s="1" t="str">
        <x:v>Peak above legacy 20-instance cap</x:v>
      </x:c>
      <x:c r="D118" s="18" t="n">
        <x:f>MAX(F118:Q118)</x:f>
        <x:v>0</x:v>
      </x:c>
      <x:c r="E118" s="18"/>
      <x:c r="F118" s="18" t="n">
        <x:f>MAX(0,F15-'Assumptions'!$E$90)</x:f>
        <x:v>0</x:v>
      </x:c>
      <x:c r="G118" s="18" t="n">
        <x:f>MAX(0,G15-'Assumptions'!$E$90)</x:f>
        <x:v>0</x:v>
      </x:c>
      <x:c r="H118" s="18" t="n">
        <x:f>MAX(0,H15-'Assumptions'!$E$90)</x:f>
        <x:v>0</x:v>
      </x:c>
      <x:c r="I118" s="18" t="n">
        <x:f>MAX(0,I15-'Assumptions'!$E$90)</x:f>
        <x:v>0</x:v>
      </x:c>
      <x:c r="J118" s="18" t="n">
        <x:f>MAX(0,J15-'Assumptions'!$E$90)</x:f>
        <x:v>0</x:v>
      </x:c>
      <x:c r="K118" s="18" t="n">
        <x:f>MAX(0,K15-'Assumptions'!$E$90)</x:f>
        <x:v>0</x:v>
      </x:c>
      <x:c r="L118" s="18" t="n">
        <x:f>MAX(0,L15-'Assumptions'!$E$90)</x:f>
        <x:v>0</x:v>
      </x:c>
      <x:c r="M118" s="18" t="n">
        <x:f>MAX(0,M15-'Assumptions'!$E$90)</x:f>
        <x:v>0</x:v>
      </x:c>
      <x:c r="N118" s="18" t="n">
        <x:f>MAX(0,N15-'Assumptions'!$E$90)</x:f>
        <x:v>0</x:v>
      </x:c>
      <x:c r="O118" s="18" t="n">
        <x:f>MAX(0,O15-'Assumptions'!$E$90)</x:f>
        <x:v>0</x:v>
      </x:c>
      <x:c r="P118" s="18" t="n">
        <x:f>MAX(0,P15-'Assumptions'!$E$90)</x:f>
        <x:v>0</x:v>
      </x:c>
      <x:c r="Q118" s="18" t="n">
        <x:f>MAX(0,Q15-'Assumptions'!$E$90)</x:f>
        <x:v>0</x:v>
      </x:c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21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21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21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21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21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21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21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21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21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21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21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21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21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21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21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21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21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21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21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21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</x:sheetData>
  <x:conditionalFormatting sqref="F117:Q117">
    <x:cfRule type="cellIs" dxfId="0" priority="1" operator="notEqual">
      <x:formula>0</x:formula>
    </x:cfRule>
  </x:conditionalFormatting>
  <x:conditionalFormatting sqref="F118:Q118"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6" hidden="0" customWidth="1"/>
    <x:col min="5" max="5" width="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1" customHeight="1">
      <x:c r="A2" s="1"/>
      <x:c r="B2" s="1"/>
      <x:c r="C2" s="2" t="str">
        <x:v>Anvil Cloud Agents economics</x:v>
      </x:c>
      <x:c r="D2" s="1"/>
      <x:c r="E2" s="1"/>
      <x:c r="F2" s="1"/>
      <x:c r="G2" s="1"/>
      <x:c r="H2" s="1"/>
      <x:c r="I2" s="1"/>
    </x:row>
    <x:row r="3" ht="21" customHeight="1">
      <x:c r="A3" s="1"/>
      <x:c r="B3" s="1"/>
      <x:c r="C3" s="3"/>
      <x:c r="D3" s="3"/>
      <x:c r="E3" s="3"/>
      <x:c r="F3" s="3"/>
      <x:c r="G3" s="3"/>
      <x:c r="H3" s="3"/>
      <x:c r="I3" s="3"/>
      <x:c r="J3" s="9"/>
      <x:c r="K3" s="9"/>
      <x:c r="L3" s="9"/>
      <x:c r="M3" s="9"/>
      <x:c r="N3" s="9"/>
      <x:c r="O3" s="9"/>
      <x:c r="P3" s="9"/>
      <x:c r="Q3" s="9"/>
    </x:row>
    <x:row r="4" ht="21" customHeight="1">
      <x:c r="A4" s="1"/>
      <x:c r="B4" s="1"/>
      <x:c r="C4" s="1" t="str">
        <x:v>Case selected:</x:v>
      </x:c>
      <x:c r="D4" s="1"/>
      <x:c r="E4" s="1"/>
      <x:c r="F4" s="5" t="str">
        <x:f>'Assumptions'!F4</x:f>
        <x:v>Initial polling increment</x:v>
      </x:c>
      <x:c r="G4" s="6"/>
      <x:c r="H4" s="6"/>
      <x:c r="I4" s="7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4" customHeight="1">
      <x:c r="A6" s="1"/>
      <x:c r="B6" s="1"/>
      <x:c r="C6" s="17" t="str">
        <x:v>Illustrative standard-1 execution</x:v>
      </x:c>
      <x:c r="D6" s="17"/>
      <x:c r="E6" s="17"/>
      <x:c r="F6" s="17"/>
      <x:c r="G6" s="17"/>
      <x:c r="H6" s="17"/>
      <x:c r="I6" s="17"/>
    </x:row>
    <x:row r="7" ht="21" customHeight="1">
      <x:c r="A7" s="1"/>
      <x:c r="B7" s="1"/>
      <x:c r="C7" s="1" t="str">
        <x:v>Running hours per billed hour</x:v>
      </x:c>
      <x:c r="D7" s="1"/>
      <x:c r="E7" s="1"/>
      <x:c r="F7" s="27" t="n">
        <x:f>1+'Assumptions'!$E$76</x:f>
        <x:v>1.25</x:v>
      </x:c>
      <x:c r="G7" s="1"/>
      <x:c r="H7" s="1"/>
      <x:c r="I7" s="1"/>
    </x:row>
    <x:row r="8" ht="21" customHeight="1">
      <x:c r="A8" s="1"/>
      <x:c r="B8" s="1"/>
      <x:c r="C8" s="1" t="str">
        <x:v>CPU USD per running hour</x:v>
      </x:c>
      <x:c r="D8" s="1"/>
      <x:c r="E8" s="1"/>
      <x:c r="F8" s="28" t="n">
        <x:f>'Assumptions'!$E$72*'Assumptions'!$E$75*'Assumptions'!$E$127</x:f>
        <x:v>0.009</x:v>
      </x:c>
      <x:c r="G8" s="1"/>
      <x:c r="H8" s="1"/>
      <x:c r="I8" s="1"/>
    </x:row>
    <x:row r="9" ht="21" customHeight="1">
      <x:c r="A9" s="1"/>
      <x:c r="B9" s="1"/>
      <x:c r="C9" s="1" t="str">
        <x:v>Memory USD per running hour</x:v>
      </x:c>
      <x:c r="D9" s="1"/>
      <x:c r="E9" s="1"/>
      <x:c r="F9" s="28" t="n">
        <x:f>'Assumptions'!$E$73*'Assumptions'!$E$129</x:f>
        <x:v>0.036</x:v>
      </x:c>
      <x:c r="G9" s="1"/>
      <x:c r="H9" s="1"/>
      <x:c r="I9" s="1"/>
    </x:row>
    <x:row r="10" ht="21" customHeight="1">
      <x:c r="A10" s="1"/>
      <x:c r="B10" s="1"/>
      <x:c r="C10" s="1" t="str">
        <x:v>Disk USD per running hour</x:v>
      </x:c>
      <x:c r="D10" s="1"/>
      <x:c r="E10" s="1"/>
      <x:c r="F10" s="28" t="n">
        <x:f>'Assumptions'!$E$74*'Assumptions'!$E$131</x:f>
        <x:v>0.002016</x:v>
      </x:c>
      <x:c r="G10" s="1"/>
      <x:c r="H10" s="1"/>
      <x:c r="I10" s="1"/>
    </x:row>
    <x:row r="11" ht="21" customHeight="1">
      <x:c r="A11" s="1"/>
      <x:c r="B11" s="1"/>
      <x:c r="C11" s="1" t="str">
        <x:v>Container USD per running hour</x:v>
      </x:c>
      <x:c r="D11" s="1"/>
      <x:c r="E11" s="1"/>
      <x:c r="F11" s="29" t="n">
        <x:f>SUM(F8:F10)</x:f>
        <x:v>0.047015999999999995</x:v>
      </x:c>
      <x:c r="G11" s="1"/>
      <x:c r="H11" s="1"/>
      <x:c r="I11" s="1"/>
    </x:row>
    <x:row r="12" ht="21" customHeight="1">
      <x:c r="A12" s="1"/>
      <x:c r="B12" s="1"/>
      <x:c r="C12" s="1" t="str">
        <x:v>Control and egress USD/running hour</x:v>
      </x:c>
      <x:c r="D12" s="1"/>
      <x:c r="E12" s="1"/>
      <x:c r="F12" s="28" t="n">
        <x:f>'Assumptions'!$E$77/1000000*('Assumptions'!$E$95+'Assumptions'!$E$40*'Assumptions'!$E$97)+'Assumptions'!$E$78/1000000*'Assumptions'!$E$99+3600*'Assumptions'!$E$43/1000000*'Assumptions'!$E$101+'Assumptions'!$E$79/1000000*'Assumptions'!$E$105+'Assumptions'!$E$80/1000000*'Assumptions'!$E$103+'Assumptions'!$E$82*'Assumptions'!$E$133+'Assumptions'!$E$81*('Assumptions'!$E$123+'Assumptions'!$E$48/30*'Assumptions'!$E$125)</x:f>
        <x:v>0.010053333333333334</x:v>
      </x:c>
      <x:c r="G12" s="1"/>
      <x:c r="H12" s="1"/>
      <x:c r="I12" s="1"/>
    </x:row>
    <x:row r="13" ht="21" customHeight="1">
      <x:c r="A13" s="1"/>
      <x:c r="B13" s="1"/>
      <x:c r="C13" s="1" t="str">
        <x:v>GBP cost per billed hour</x:v>
      </x:c>
      <x:c r="D13" s="1"/>
      <x:c r="E13" s="1"/>
      <x:c r="F13" s="30" t="n">
        <x:f>SUM(F11,F12)*F7*'Assumptions'!$E$31</x:f>
        <x:v>0.053502499999999995</x:v>
      </x:c>
      <x:c r="G13" s="1"/>
      <x:c r="H13" s="1"/>
      <x:c r="I13" s="1"/>
    </x:row>
    <x:row r="14" ht="21" customHeight="1">
      <x:c r="A14" s="1"/>
      <x:c r="B14" s="1"/>
      <x:c r="C14" s="1" t="str">
        <x:v>Revenue per buyer/month</x:v>
      </x:c>
      <x:c r="D14" s="1"/>
      <x:c r="E14" s="1"/>
      <x:c r="F14" s="32" t="n">
        <x:f>'Assumptions'!$E$70*'Assumptions'!$E$71</x:f>
        <x:v>10</x:v>
      </x:c>
      <x:c r="G14" s="1"/>
      <x:c r="H14" s="1"/>
      <x:c r="I14" s="1"/>
    </x:row>
    <x:row r="15" ht="21" customHeight="1">
      <x:c r="A15" s="1"/>
      <x:c r="B15" s="1"/>
      <x:c r="C15" s="1" t="str">
        <x:v>Provider cost per buyer/month</x:v>
      </x:c>
      <x:c r="D15" s="1"/>
      <x:c r="E15" s="1"/>
      <x:c r="F15" s="32" t="n">
        <x:f>'Assumptions'!$E$70*F13</x:f>
        <x:v>1.07005</x:v>
      </x:c>
      <x:c r="G15" s="1"/>
      <x:c r="H15" s="1"/>
      <x:c r="I15" s="1"/>
    </x:row>
    <x:row r="16" ht="21" customHeight="1">
      <x:c r="A16" s="1"/>
      <x:c r="B16" s="1"/>
      <x:c r="C16" s="1" t="str">
        <x:v>Fees and refund reserve/buyer</x:v>
      </x:c>
      <x:c r="D16" s="1"/>
      <x:c r="E16" s="1"/>
      <x:c r="F16" s="32" t="n">
        <x:f>F14*('Assumptions'!$E$83+'Assumptions'!$E$84/'Assumptions'!$E$85+'Assumptions'!$E$86+'Assumptions'!$E$87)</x:f>
        <x:v>0.52</x:v>
      </x:c>
      <x:c r="G16" s="1"/>
      <x:c r="H16" s="1"/>
      <x:c r="I16" s="1"/>
    </x:row>
    <x:row r="17" ht="21" customHeight="1">
      <x:c r="A17" s="1"/>
      <x:c r="B17" s="1"/>
      <x:c r="C17" s="1" t="str">
        <x:v>Allocated support per buyer</x:v>
      </x:c>
      <x:c r="D17" s="1"/>
      <x:c r="E17" s="1"/>
      <x:c r="F17" s="32" t="n">
        <x:f>'Assumptions'!$E$88</x:f>
        <x:v>0.25</x:v>
      </x:c>
      <x:c r="G17" s="1"/>
      <x:c r="H17" s="1"/>
      <x:c r="I17" s="1"/>
    </x:row>
    <x:row r="18" ht="21" customHeight="1">
      <x:c r="A18" s="1"/>
      <x:c r="B18" s="1"/>
      <x:c r="C18" s="1" t="str">
        <x:v>Marginal contribution per buyer</x:v>
      </x:c>
      <x:c r="D18" s="1"/>
      <x:c r="E18" s="1"/>
      <x:c r="F18" s="35" t="n">
        <x:f>F14-SUM(F15:F17)</x:f>
        <x:v>8.15995</x:v>
      </x:c>
      <x:c r="G18" s="1"/>
      <x:c r="H18" s="1"/>
      <x:c r="I18" s="1"/>
    </x:row>
    <x:row r="19" ht="21" customHeight="1">
      <x:c r="A19" s="1"/>
      <x:c r="B19" s="1"/>
      <x:c r="C19" s="1" t="str">
        <x:v>Contribution margin</x:v>
      </x:c>
      <x:c r="D19" s="1"/>
      <x:c r="E19" s="1"/>
      <x:c r="F19" s="20" t="n">
        <x:f>IF(F14=0,"n.a.",F18/F14)</x:f>
        <x:v>0.815995</x:v>
      </x:c>
      <x:c r="G19" s="1"/>
      <x:c r="H19" s="1"/>
      <x:c r="I19" s="1"/>
    </x:row>
    <x:row r="20" ht="21" customHeight="1">
      <x:c r="A20" s="1"/>
      <x:c r="B20" s="1"/>
      <x:c r="C20" s="1" t="str">
        <x:v>Month-12 buyers to fund external spend</x:v>
      </x:c>
      <x:c r="D20" s="1"/>
      <x:c r="E20" s="1"/>
      <x:c r="F20" s="33" t="n">
        <x:f>IF(F18&lt;=0,"n.a.",ROUNDUP('Forecast'!Q92/F18,0))</x:f>
        <x:v>49</x:v>
      </x:c>
      <x:c r="G20" s="1"/>
      <x:c r="H20" s="1"/>
      <x:c r="I20" s="1"/>
    </x:row>
    <x:row r="21" ht="21" customHeight="1">
      <x:c r="A21" s="1"/>
      <x:c r="B21" s="1"/>
      <x:c r="C21" s="1" t="str">
        <x:v>Month-12 buyers to fund recurring total</x:v>
      </x:c>
      <x:c r="D21" s="1"/>
      <x:c r="E21" s="1"/>
      <x:c r="F21" s="33" t="n">
        <x:f>IF(F18&lt;=0,"n.a.",ROUNDUP(('Forecast'!Q104-'Forecast'!Q103)/F18,0))</x:f>
        <x:v>235</x:v>
      </x:c>
      <x:c r="G21" s="1"/>
      <x:c r="H21" s="1"/>
      <x:c r="I21" s="1"/>
    </x:row>
    <x:row r="22" ht="21" customHeight="1">
      <x:c r="A22" s="1"/>
      <x:c r="B22" s="1"/>
      <x:c r="C22" s="1" t="str">
        <x:v>External-spend break-even conversion</x:v>
      </x:c>
      <x:c r="D22" s="1"/>
      <x:c r="E22" s="1"/>
      <x:c r="F22" s="34" t="n">
        <x:f>IF('Forecast'!Q8=0,"n.a.",F20/'Forecast'!Q8)</x:f>
        <x:v>0.01225</x:v>
      </x:c>
      <x:c r="G22" s="1"/>
      <x:c r="H22" s="1"/>
      <x:c r="I22" s="1"/>
    </x:row>
    <x:row r="23" ht="21" customHeight="1">
      <x:c r="A23" s="1"/>
      <x:c r="B23" s="1"/>
      <x:c r="C23" s="1" t="str">
        <x:v>Recurring-total break-even conversion</x:v>
      </x:c>
      <x:c r="D23" s="1"/>
      <x:c r="E23" s="1"/>
      <x:c r="F23" s="34" t="n">
        <x:f>IF('Forecast'!Q8=0,"n.a.",F21/'Forecast'!Q8)</x:f>
        <x:v>0.05875</x:v>
      </x:c>
      <x:c r="G23" s="1"/>
      <x:c r="H23" s="1"/>
      <x:c r="I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1" customHeight="1">
      <x:c r="A29" s="1"/>
      <x:c r="B29" s="1"/>
      <x:c r="C29" s="36" t="str">
        <x:v>Snapshot pricing, taxes, paid launch engineering and higher support are excluded.</x:v>
      </x:c>
      <x:c r="D29" s="36"/>
      <x:c r="E29" s="36"/>
      <x:c r="F29" s="36"/>
      <x:c r="G29" s="36"/>
      <x:c r="H29" s="36"/>
      <x:c r="I29" s="36"/>
    </x:row>
    <x:row r="30" ht="21" customHeight="1">
      <x:c r="A30" s="1"/>
      <x:c r="B30" s="1"/>
      <x:c r="C30" s="36" t="str">
        <x:v>Hourly price is illustrative. Shared allowances are applied once in Forecast.</x:v>
      </x:c>
      <x:c r="D30" s="36"/>
      <x:c r="E30" s="36"/>
      <x:c r="F30" s="36"/>
      <x:c r="G30" s="36"/>
      <x:c r="H30" s="36"/>
      <x:c r="I30" s="36"/>
    </x:row>
    <x:row r="31" ht="21" customHeight="1">
      <x:c r="A31" s="1"/>
      <x:c r="B31" s="1"/>
      <x:c r="C31" s="36" t="str">
        <x:v>Launch stays disabled until Assumptions launch month is changed from zero.</x:v>
      </x:c>
      <x:c r="D31" s="36"/>
      <x:c r="E31" s="36"/>
      <x:c r="F31" s="36"/>
      <x:c r="G31" s="36"/>
      <x:c r="H31" s="36"/>
      <x:c r="I31" s="36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