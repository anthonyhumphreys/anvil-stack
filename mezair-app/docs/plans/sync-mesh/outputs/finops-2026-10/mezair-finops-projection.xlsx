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e5b51d68d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73b701d7ca43a8"/>
    <x:sheet xmlns:r="http://schemas.openxmlformats.org/officeDocument/2006/relationships" name="Assumptions" sheetId="2" r:id="Rbd69538770dd4e21"/>
    <x:sheet xmlns:r="http://schemas.openxmlformats.org/officeDocument/2006/relationships" name="Forecast" sheetId="3" r:id="R64ce12ac3e1e4073"/>
    <x:sheet xmlns:r="http://schemas.openxmlformats.org/officeDocument/2006/relationships" name="Agent economics" sheetId="4" r:id="Ra9b77f341d9440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5">
    <x:numFmt numFmtId="200" formatCode="mmm-yy"/>
    <x:numFmt numFmtId="201" formatCode="#,##0;(#,##0);&quot;-&quot;"/>
    <x:numFmt numFmtId="202" formatCode="0.0%;(0.0%);&quot;-&quot;"/>
    <x:numFmt numFmtId="203" formatCode="0.0000"/>
    <x:numFmt numFmtId="204" formatCode="#,##0.00"/>
    <x:numFmt numFmtId="205" formatCode="#,##0"/>
    <x:numFmt numFmtId="206" formatCode="d-mmm-yyyy"/>
    <x:numFmt numFmtId="207" formatCode="0.000000"/>
    <x:numFmt numFmtId="208" formatCode="#,##0.000;(#,##0.000);&quot;-&quot;"/>
    <x:numFmt numFmtId="209" formatCode="&quot;£&quot;#,##0;(&quot;£&quot;#,##0);&quot;-&quot;"/>
    <x:numFmt numFmtId="210" formatCode="0.00"/>
    <x:numFmt numFmtId="211" formatCode="&quot;$&quot;0.0000"/>
    <x:numFmt numFmtId="212" formatCode="&quot;£&quot;0.0000"/>
    <x:numFmt numFmtId="213" formatCode="&quot;£&quot;0.00"/>
    <x:numFmt numFmtId="214" formatCode="&quot;$&quot;#,##0"/>
  </x:numFmts>
  <x:fonts count="10">
    <x:font>
      <x:sz val="11"/>
      <x:name val="Carlito"/>
    </x:font>
    <x:font>
      <x:sz val="10"/>
      <x:color rgb="FF111827"/>
      <x:name val="Arial"/>
    </x:font>
    <x:font>
      <x:b/>
      <x:sz val="14"/>
      <x:color rgb="FF111827"/>
      <x:name val="Arial"/>
    </x:font>
    <x:font>
      <x:sz val="10"/>
      <x:color rgb="FF008000"/>
      <x:name val="Arial"/>
    </x:font>
    <x:font>
      <x:b/>
      <x:sz val="10"/>
      <x:color rgb="FF0000FF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1"/>
      <x:color rgb="FF0000FF"/>
      <x:name val="Carlito"/>
    </x:font>
    <x:font>
      <x:sz val="11"/>
      <x:color rgb="FF111827"/>
      <x:name val="Carlito"/>
    </x:font>
    <x:font>
      <x:i/>
      <x:sz val="10"/>
      <x:color rgb="FF47556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243746"/>
      </x:patternFill>
    </x:fill>
  </x:fills>
  <x:borders count="5">
    <x:border/>
    <x:border>
      <x:bottom style="thin">
        <x:color rgb="FF64748B"/>
      </x:bottom>
    </x:border>
    <x:border>
      <x:left style="dotted">
        <x:color rgb="FF64748B"/>
      </x:left>
      <x:top style="dotted">
        <x:color rgb="FF64748B"/>
      </x:top>
      <x:bottom style="dotted">
        <x:color rgb="FF64748B"/>
      </x:bottom>
    </x:border>
    <x:border>
      <x:top style="dotted">
        <x:color rgb="FF64748B"/>
      </x:top>
      <x:bottom style="dotted">
        <x:color rgb="FF64748B"/>
      </x:bottom>
    </x:border>
    <x:border>
      <x:right style="dotted">
        <x:color rgb="FF64748B"/>
      </x:right>
      <x:top style="dotted">
        <x:color rgb="FF64748B"/>
      </x:top>
      <x:bottom style="dotted">
        <x:color rgb="FF64748B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2" xfId="0" applyNumberFormat="1" applyFont="1" applyFill="1" applyBorder="1"/>
    <x:xf numFmtId="0" fontId="0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200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201" fontId="1" fillId="0" borderId="0" xfId="0" applyNumberFormat="1" applyFont="1" applyFill="1" applyBorder="1"/>
    <x:xf numFmtId="201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5" fillId="0" borderId="0" xfId="0" applyNumberFormat="1" applyFont="1" applyFill="1" applyBorder="1"/>
    <x:xf numFmtId="203" fontId="1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203" fontId="5" fillId="0" borderId="0" xfId="0" applyNumberFormat="1" applyFont="1" applyFill="1" applyBorder="1"/>
    <x:xf numFmtId="206" fontId="5" fillId="0" borderId="0" xfId="0" applyNumberFormat="1" applyFont="1" applyFill="1" applyBorder="1"/>
    <x:xf numFmtId="207" fontId="5" fillId="0" borderId="0" xfId="0" applyNumberFormat="1" applyFont="1" applyFill="1" applyBorder="1"/>
    <x:xf numFmtId="0" fontId="7" fillId="0" borderId="0" xfId="0" applyNumberFormat="1" applyFont="1" applyFill="1" applyBorder="1"/>
    <x:xf numFmtId="207" fontId="7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1" fontId="0" fillId="0" borderId="0" xfId="0" applyNumberFormat="1" applyFont="1" applyFill="1" applyBorder="1"/>
    <x:xf numFmtId="210" fontId="3" fillId="0" borderId="0" xfId="0" applyNumberFormat="1" applyFont="1" applyFill="1" applyBorder="1"/>
    <x:xf numFmtId="211" fontId="3" fillId="0" borderId="0" xfId="0" applyNumberFormat="1" applyFont="1" applyFill="1" applyBorder="1"/>
    <x:xf numFmtId="211" fontId="1" fillId="0" borderId="0" xfId="0" applyNumberFormat="1" applyFont="1" applyFill="1" applyBorder="1"/>
    <x:xf numFmtId="212" fontId="3" fillId="0" borderId="0" xfId="0" applyNumberFormat="1" applyFont="1" applyFill="1" applyBorder="1"/>
    <x:xf numFmtId="209" fontId="3" fillId="0" borderId="0" xfId="0" applyNumberFormat="1" applyFont="1" applyFill="1" applyBorder="1"/>
    <x:xf numFmtId="213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13" fontId="1" fillId="0" borderId="0" xfId="0" applyNumberFormat="1" applyFont="1" applyFill="1" applyBorder="1"/>
    <x:xf numFmtId="0" fontId="9" fillId="0" borderId="0" xfId="0" applyNumberFormat="1" applyFont="1" applyFill="1" applyBorder="1"/>
    <x:xf numFmtId="214" fontId="3" fillId="0" borderId="0" xfId="0" applyNumberFormat="1" applyFont="1" applyFill="1" applyBorder="1"/>
    <x:xf numFmtId="214" fontId="1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b18ac178b4893" /><Relationship Type="http://schemas.openxmlformats.org/officeDocument/2006/relationships/theme" Target="/xl/theme/theme1.xml" Id="Rde9a6d8f79bd4922" /><Relationship Type="http://schemas.openxmlformats.org/officeDocument/2006/relationships/sharedStrings" Target="/xl/sharedStrings.xml" Id="R52d5b5bdfd054daa" /><Relationship Type="http://schemas.openxmlformats.org/officeDocument/2006/relationships/worksheet" Target="/xl/worksheets/sheet1.xml" Id="R9f73b701d7ca43a8" /><Relationship Type="http://schemas.openxmlformats.org/officeDocument/2006/relationships/worksheet" Target="/xl/worksheets/sheet2.xml" Id="Rbd69538770dd4e21" /><Relationship Type="http://schemas.openxmlformats.org/officeDocument/2006/relationships/worksheet" Target="/xl/worksheets/sheet3.xml" Id="R64ce12ac3e1e4073" /><Relationship Type="http://schemas.openxmlformats.org/officeDocument/2006/relationships/worksheet" Target="/xl/worksheets/sheet4.xml" Id="Ra9b77f341d9440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e708c8cc964e9f" /><Relationship Type="http://schemas.openxmlformats.org/officeDocument/2006/relationships/chart" Target="/xl/drawings/charts/chart2.xml" Id="R236a231fe62d4b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external and allocated cost (GBP)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External spend GBP</c:v>
          </c:tx>
          <c:spPr>
            <a:ln xmlns:a="http://schemas.openxmlformats.org/drawingml/2006/main" w="19050">
              <a:solidFill>
                <a:srgbClr val="2B6CB0"/>
              </a:solidFill>
              <a:prstDash val="solid"/>
            </a:ln>
          </c:spPr>
          <c:marker>
            <c:symbol val="none"/>
          </c:marker>
          <c:cat>
            <c:strRef>
              <c:f>'Summary'!$C$28:$C$39</c:f>
              <c:strCache>
                <c:ptCount val="0"/>
              </c:strCache>
            </c:strRef>
          </c:cat>
          <c:val>
            <c:numRef>
              <c:f>'Summary'!$D$28:$D$39</c:f>
              <c:numCache>
                <c:formatCode>£#,##0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Total allocated GBP</c:v>
          </c:tx>
          <c:spPr>
            <a:ln xmlns:a="http://schemas.openxmlformats.org/drawingml/2006/main" w="19050">
              <a:solidFill>
                <a:srgbClr val="A55B2A"/>
              </a:solidFill>
              <a:prstDash val="solid"/>
            </a:ln>
          </c:spPr>
          <c:marker>
            <c:symbol val="none"/>
          </c:marker>
          <c:cat>
            <c:strRef>
              <c:f>'Summary'!$C$28:$C$39</c:f>
              <c:strCache>
                <c:ptCount val="0"/>
              </c:strCache>
            </c:strRef>
          </c:cat>
          <c:val>
            <c:numRef>
              <c:f>'Summary'!$E$28:$E$39</c:f>
              <c:numCache>
                <c:formatCode>£#,##0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£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Closing credit USD (unused credit expires in Sep)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Credit USD</c:v>
          </c:tx>
          <c:spPr>
            <a:ln xmlns:a="http://schemas.openxmlformats.org/drawingml/2006/main" w="19050">
              <a:solidFill>
                <a:srgbClr val="2B6CB0"/>
              </a:solidFill>
              <a:prstDash val="solid"/>
            </a:ln>
          </c:spPr>
          <c:marker>
            <c:symbol val="none"/>
          </c:marker>
          <c:cat>
            <c:strRef>
              <c:f>'Summary'!$C$28:$C$39</c:f>
              <c:strCache>
                <c:ptCount val="0"/>
              </c:strCache>
            </c:strRef>
          </c:cat>
          <c:val>
            <c:numRef>
              <c:f>'Summary'!$G$28:$G$39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e708c8cc964e9f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17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6a231fe62d4be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912f964ca94efd" /></Relationships>
</file>

<file path=xl/worksheets/sheet1.xml><?xml version="1.0" encoding="utf-8"?>
<x:worksheet xmlns:x="http://schemas.openxmlformats.org/spreadsheetml/2006/main">
  <x:sheetPr>
    <x:tabColor rgb="FF243746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6" hidden="0" customWidth="1"/>
    <x:col min="5" max="5" width="20" hidden="0" customWidth="1"/>
    <x:col min="6" max="6" width="13" hidden="0" customWidth="1"/>
    <x:col min="7" max="7" width="15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1"/>
      <x:c r="B2" s="1"/>
      <x:c r="C2" s="2" t="str">
        <x:v>Mezair FinOps projection (GBP)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1" customHeight="1">
      <x:c r="A4" s="1"/>
      <x:c r="B4" s="1"/>
      <x:c r="C4" s="1" t="str">
        <x:v>Case selected:</x:v>
      </x:c>
      <x:c r="D4" s="1"/>
      <x:c r="E4" s="1"/>
      <x:c r="F4" s="5" t="str">
        <x:f>'Assumptions'!F4</x:f>
        <x:v>Host-local full scope</x:v>
      </x:c>
      <x:c r="G4" s="6"/>
      <x:c r="H4" s="6"/>
      <x:c r="I4" s="7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4" customHeight="1">
      <x:c r="A6" s="1"/>
      <x:c r="B6" s="1"/>
      <x:c r="C6" s="17" t="str">
        <x:v>4 October 2026 to 30 September 2027</x:v>
      </x:c>
      <x:c r="D6" s="17"/>
      <x:c r="E6" s="17"/>
      <x:c r="F6" s="17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1"/>
      <x:c r="B7" s="1"/>
      <x:c r="C7" s="1"/>
      <x:c r="D7" s="1" t="str">
        <x:v>12 months</x:v>
      </x:c>
      <x:c r="E7" s="1"/>
      <x:c r="F7" s="1" t="str">
        <x:v>Sep-27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1" customHeight="1">
      <x:c r="A8" s="1"/>
      <x:c r="B8" s="1"/>
      <x:c r="C8" s="1" t="str">
        <x:v>Free service external spend</x:v>
      </x:c>
      <x:c r="D8" s="31" t="n">
        <x:f>'Forecast'!D150</x:f>
        <x:v>706.678886535</x:v>
      </x:c>
      <x:c r="E8" s="31"/>
      <x:c r="F8" s="31" t="n">
        <x:f>'Forecast'!Q150</x:f>
        <x:v>80.6906969856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1" customHeight="1">
      <x:c r="A9" s="1"/>
      <x:c r="B9" s="1"/>
      <x:c r="C9" s="1" t="str">
        <x:v>External-cost reserve incl. contingency</x:v>
      </x:c>
      <x:c r="D9" s="31" t="n">
        <x:f>'Forecast'!D164</x:f>
        <x:v>883.3486081687499</x:v>
      </x:c>
      <x:c r="E9" s="31"/>
      <x:c r="F9" s="31" t="n">
        <x:f>'Forecast'!Q164</x:f>
        <x:v>100.86337123199999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1" customHeight="1">
      <x:c r="A10" s="1"/>
      <x:c r="B10" s="1"/>
      <x:c r="C10" s="1" t="str">
        <x:v>Operator and incident time</x:v>
      </x:c>
      <x:c r="D10" s="31" t="n">
        <x:f>'Forecast'!D159</x:f>
        <x:v>8640</x:v>
      </x:c>
      <x:c r="E10" s="31"/>
      <x:c r="F10" s="31" t="n">
        <x:f>'Forecast'!Q159</x:f>
        <x:v>720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1" customHeight="1">
      <x:c r="A11" s="1"/>
      <x:c r="B11" s="1"/>
      <x:c r="C11" s="1" t="str">
        <x:v>Free-user support time</x:v>
      </x:c>
      <x:c r="D11" s="31" t="n">
        <x:f>'Forecast'!D160</x:f>
        <x:v>5336</x:v>
      </x:c>
      <x:c r="E11" s="31"/>
      <x:c r="F11" s="31" t="n">
        <x:f>'Forecast'!Q160</x:f>
        <x:v>800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1" customHeight="1">
      <x:c r="A12" s="1"/>
      <x:c r="B12" s="1"/>
      <x:c r="C12" s="1" t="str">
        <x:v>One-time measurement work</x:v>
      </x:c>
      <x:c r="D12" s="31" t="n">
        <x:f>'Forecast'!D161</x:f>
        <x:v>1440</x:v>
      </x:c>
      <x:c r="E12" s="31"/>
      <x:c r="F12" s="31" t="n">
        <x:f>'Forecast'!Q161</x:f>
        <x:v>0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1" customHeight="1">
      <x:c r="A13" s="1"/>
      <x:c r="B13" s="1"/>
      <x:c r="C13" s="1" t="str">
        <x:v>Total including allocated time</x:v>
      </x:c>
      <x:c r="D13" s="31" t="n">
        <x:f>'Forecast'!D162</x:f>
        <x:v>16122.678886534999</x:v>
      </x:c>
      <x:c r="E13" s="31"/>
      <x:c r="F13" s="31" t="n">
        <x:f>'Forecast'!Q162</x:f>
        <x:v>1600.6906969856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1" customHeight="1">
      <x:c r="A14" s="1"/>
      <x:c r="B14" s="1"/>
      <x:c r="C14" s="1" t="str">
        <x:v>Cloud Agents revenue earned</x:v>
      </x:c>
      <x:c r="D14" s="31" t="n">
        <x:f>'Forecast'!D153</x:f>
        <x:v>0</x:v>
      </x:c>
      <x:c r="E14" s="31"/>
      <x:c r="F14" s="31" t="n">
        <x:f>'Forecast'!Q153</x:f>
        <x:v>0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1" t="str">
        <x:v>Cloud Agents contribution</x:v>
      </x:c>
      <x:c r="D15" s="31" t="n">
        <x:f>'Forecast'!D157</x:f>
        <x:v>0</x:v>
      </x:c>
      <x:c r="E15" s="31"/>
      <x:c r="F15" s="31" t="n">
        <x:f>'Forecast'!Q157</x:f>
        <x:v>0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1" t="str">
        <x:v>Cost after Agents contribution</x:v>
      </x:c>
      <x:c r="D16" s="31" t="n">
        <x:f>'Forecast'!D163</x:f>
        <x:v>16122.678886534999</x:v>
      </x:c>
      <x:c r="E16" s="31"/>
      <x:c r="F16" s="31" t="n">
        <x:f>'Forecast'!Q163</x:f>
        <x:v>1600.6906969856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 t="str">
        <x:v>Provider/tool cash after CF credit</x:v>
      </x:c>
      <x:c r="D17" s="31" t="n">
        <x:f>'Forecast'!D173</x:f>
        <x:v>569.06596869376</x:v>
      </x:c>
      <x:c r="E17" s="31"/>
      <x:c r="F17" s="31" t="n">
        <x:f>'Forecast'!Q173</x:f>
        <x:v>68.96596869376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 t="str">
        <x:v>Cloudflare credit used (USD)</x:v>
      </x:c>
      <x:c r="D18" s="46" t="n">
        <x:f>'Forecast'!D169</x:f>
        <x:v>183.4838904549867</x:v>
      </x:c>
      <x:c r="E18" s="46"/>
      <x:c r="F18" s="46" t="n">
        <x:f>'Forecast'!Q169</x:f>
        <x:v>15.632971055786665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1" t="str">
        <x:v>Cloud Agents launch month</x:v>
      </x:c>
      <x:c r="D19" s="1"/>
      <x:c r="E19" s="1"/>
      <x:c r="F19" s="1" t="n">
        <x:f>'Assumptions'!$E$163</x:f>
        <x:v>0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 t="str">
        <x:v>Retained accounts at September</x:v>
      </x:c>
      <x:c r="D20" s="1"/>
      <x:c r="E20" s="1"/>
      <x:c r="F20" s="18" t="n">
        <x:f>'Forecast'!Q10</x:f>
        <x:v>20000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 t="str">
        <x:v>External-cost reserve remaining</x:v>
      </x:c>
      <x:c r="D21" s="1"/>
      <x:c r="E21" s="1"/>
      <x:c r="F21" s="31" t="n">
        <x:f>'Forecast'!Q165</x:f>
        <x:v>4116.651391831249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1" customHeight="1">
      <x:c r="A22" s="1"/>
      <x:c r="B22" s="1"/>
      <x:c r="C22" s="1" t="str">
        <x:v>Unused credit expired (USD)</x:v>
      </x:c>
      <x:c r="D22" s="46" t="n">
        <x:f>'Forecast'!D170</x:f>
        <x:v>9816.516109545013</x:v>
      </x:c>
      <x:c r="E22" s="46"/>
      <x:c r="F22" s="46" t="n">
        <x:f>'Forecast'!Q170</x:f>
        <x:v>9816.516109545013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44" t="str">
        <x:v>Labour is allocated time unless paid-labour share is increased. Revenue excludes unused credit.</x:v>
      </x:c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</x:row>
    <x:row r="24" ht="21" customHeight="1">
      <x:c r="A24" s="1"/>
      <x:c r="B24" s="1"/>
      <x:c r="C24" s="44" t="str">
        <x:v>Tunnel supplier fees are unknown and excluded. A zero placeholder does not mean the route is free.</x:v>
      </x:c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17" t="str">
        <x:v>Month</x:v>
      </x:c>
      <x:c r="D27" s="17" t="str">
        <x:v>External spend GBP</x:v>
      </x:c>
      <x:c r="E27" s="17" t="str">
        <x:v>Total allocated GBP</x:v>
      </x:c>
      <x:c r="F27" s="17" t="str">
        <x:v>DAU</x:v>
      </x:c>
      <x:c r="G27" s="17" t="str">
        <x:v>Credit USD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 t="str">
        <x:v>Oct 26</x:v>
      </x:c>
      <x:c r="D28" s="31" t="n">
        <x:f>'Forecast'!F150</x:f>
        <x:v>37.537499999999994</x:v>
      </x:c>
      <x:c r="E28" s="31" t="n">
        <x:f>'Forecast'!F162</x:f>
        <x:v>2277.5375</x:v>
      </x:c>
      <x:c r="F28" s="18" t="n">
        <x:f>'Forecast'!F7</x:f>
        <x:v>100</x:v>
      </x:c>
      <x:c r="G28" s="46" t="n">
        <x:f>'Forecast'!F171</x:f>
        <x:v>9993.95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1" customHeight="1">
      <x:c r="A29" s="1"/>
      <x:c r="B29" s="1"/>
      <x:c r="C29" s="1" t="str">
        <x:v>Nov 26</x:v>
      </x:c>
      <x:c r="D29" s="31" t="n">
        <x:f>'Forecast'!G150</x:f>
        <x:v>39.599999999999994</x:v>
      </x:c>
      <x:c r="E29" s="31" t="n">
        <x:f>'Forecast'!G162</x:f>
        <x:v>879.6</x:v>
      </x:c>
      <x:c r="F29" s="18" t="n">
        <x:f>'Forecast'!G7</x:f>
        <x:v>150</x:v>
      </x:c>
      <x:c r="G29" s="46" t="n">
        <x:f>'Forecast'!G171</x:f>
        <x:v>9987.150000000001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1" customHeight="1">
      <x:c r="A30" s="1"/>
      <x:c r="B30" s="1"/>
      <x:c r="C30" s="1" t="str">
        <x:v>Dec 26</x:v>
      </x:c>
      <x:c r="D30" s="31" t="n">
        <x:f>'Forecast'!H150</x:f>
        <x:v>42.5443879104</x:v>
      </x:c>
      <x:c r="E30" s="31" t="n">
        <x:f>'Forecast'!H162</x:f>
        <x:v>938.5443879104</x:v>
      </x:c>
      <x:c r="F30" s="18" t="n">
        <x:f>'Forecast'!H7</x:f>
        <x:v>220</x:v>
      </x:c>
      <x:c r="G30" s="46" t="n">
        <x:f>'Forecast'!H171</x:f>
        <x:v>9979.2241494528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1" customHeight="1">
      <x:c r="A31" s="1"/>
      <x:c r="B31" s="1"/>
      <x:c r="C31" s="1" t="str">
        <x:v>Jan 27</x:v>
      </x:c>
      <x:c r="D31" s="31" t="n">
        <x:f>'Forecast'!I150</x:f>
        <x:v>46.118352843000004</x:v>
      </x:c>
      <x:c r="E31" s="31" t="n">
        <x:f>'Forecast'!I162</x:f>
        <x:v>1006.118352843</x:v>
      </x:c>
      <x:c r="F31" s="18" t="n">
        <x:f>'Forecast'!I7</x:f>
        <x:v>300</x:v>
      </x:c>
      <x:c r="G31" s="46" t="n">
        <x:f>'Forecast'!I171</x:f>
        <x:v>9969.733012328801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1" customHeight="1">
      <x:c r="A32" s="1"/>
      <x:c r="B32" s="1"/>
      <x:c r="C32" s="1" t="str">
        <x:v>Feb 27</x:v>
      </x:c>
      <x:c r="D32" s="31" t="n">
        <x:f>'Forecast'!J150</x:f>
        <x:v>50.192648083200005</x:v>
      </x:c>
      <x:c r="E32" s="31" t="n">
        <x:f>'Forecast'!J162</x:f>
        <x:v>1090.1926480831999</x:v>
      </x:c>
      <x:c r="F32" s="18" t="n">
        <x:f>'Forecast'!J7</x:f>
        <x:v>400</x:v>
      </x:c>
      <x:c r="G32" s="46" t="n">
        <x:f>'Forecast'!J171</x:f>
        <x:v>9958.809481551201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1" customHeight="1">
      <x:c r="A33" s="1"/>
      <x:c r="B33" s="1"/>
      <x:c r="C33" s="1" t="str">
        <x:v>Mar 27</x:v>
      </x:c>
      <x:c r="D33" s="31" t="n">
        <x:f>'Forecast'!K150</x:f>
        <x:v>55.6696042536</x:v>
      </x:c>
      <x:c r="E33" s="31" t="n">
        <x:f>'Forecast'!K162</x:f>
        <x:v>1175.6696042536</x:v>
      </x:c>
      <x:c r="F33" s="18" t="n">
        <x:f>'Forecast'!K7</x:f>
        <x:v>500</x:v>
      </x:c>
      <x:c r="G33" s="46" t="n">
        <x:f>'Forecast'!K171</x:f>
        <x:v>9944.5833425464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1" customHeight="1">
      <x:c r="A34" s="1"/>
      <x:c r="B34" s="1"/>
      <x:c r="C34" s="1" t="str">
        <x:v>Apr 27</x:v>
      </x:c>
      <x:c r="D34" s="31" t="n">
        <x:f>'Forecast'!L150</x:f>
        <x:v>60.4421474976</x:v>
      </x:c>
      <x:c r="E34" s="31" t="n">
        <x:f>'Forecast'!L162</x:f>
        <x:v>1260.4421474976</x:v>
      </x:c>
      <x:c r="F34" s="18" t="n">
        <x:f>'Forecast'!L7</x:f>
        <x:v>600</x:v>
      </x:c>
      <x:c r="G34" s="46" t="n">
        <x:f>'Forecast'!L171</x:f>
        <x:v>9927.993812549601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1" customHeight="1">
      <x:c r="A35" s="1"/>
      <x:c r="B35" s="1"/>
      <x:c r="C35" s="1" t="str">
        <x:v>May 27</x:v>
      </x:c>
      <x:c r="D35" s="31" t="n">
        <x:f>'Forecast'!M150</x:f>
        <x:v>65.94510615600001</x:v>
      </x:c>
      <x:c r="E35" s="31" t="n">
        <x:f>'Forecast'!M162</x:f>
        <x:v>1345.945106156</x:v>
      </x:c>
      <x:c r="F35" s="18" t="n">
        <x:f>'Forecast'!M7</x:f>
        <x:v>700</x:v>
      </x:c>
      <x:c r="G35" s="46" t="n">
        <x:f>'Forecast'!M171</x:f>
        <x:v>9908.067004341601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1" customHeight="1">
      <x:c r="A36" s="1"/>
      <x:c r="B36" s="1"/>
      <x:c r="C36" s="1" t="str">
        <x:v>Jun 27</x:v>
      </x:c>
      <x:c r="D36" s="31" t="n">
        <x:f>'Forecast'!N150</x:f>
        <x:v>70.5589724736</x:v>
      </x:c>
      <x:c r="E36" s="31" t="n">
        <x:f>'Forecast'!N162</x:f>
        <x:v>1430.5589724736</x:v>
      </x:c>
      <x:c r="F36" s="18" t="n">
        <x:f>'Forecast'!N7</x:f>
        <x:v>800</x:v>
      </x:c>
      <x:c r="G36" s="46" t="n">
        <x:f>'Forecast'!N171</x:f>
        <x:v>9885.9883743768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 t="str">
        <x:v>Jul 27</x:v>
      </x:c>
      <x:c r="D37" s="31" t="n">
        <x:f>'Forecast'!O150</x:f>
        <x:v>76.12038871440001</x:v>
      </x:c>
      <x:c r="E37" s="31" t="n">
        <x:f>'Forecast'!O162</x:f>
        <x:v>1516.1203887144</x:v>
      </x:c>
      <x:c r="F37" s="18" t="n">
        <x:f>'Forecast'!O7</x:f>
        <x:v>900</x:v>
      </x:c>
      <x:c r="G37" s="46" t="n">
        <x:f>'Forecast'!O171</x:f>
        <x:v>9860.4945227576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1" t="str">
        <x:v>Aug 27</x:v>
      </x:c>
      <x:c r="D38" s="31" t="n">
        <x:f>'Forecast'!P150</x:f>
        <x:v>81.2590816176</x:v>
      </x:c>
      <x:c r="E38" s="31" t="n">
        <x:f>'Forecast'!P162</x:f>
        <x:v>1601.2590816176</x:v>
      </x:c>
      <x:c r="F38" s="18" t="n">
        <x:f>'Forecast'!P7</x:f>
        <x:v>1000</x:v>
      </x:c>
      <x:c r="G38" s="46" t="n">
        <x:f>'Forecast'!P171</x:f>
        <x:v>9832.1490806008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1" t="str">
        <x:v>Sept 27</x:v>
      </x:c>
      <x:c r="D39" s="31" t="n">
        <x:f>'Forecast'!Q150</x:f>
        <x:v>80.6906969856</x:v>
      </x:c>
      <x:c r="E39" s="31" t="n">
        <x:f>'Forecast'!Q162</x:f>
        <x:v>1600.6906969856</x:v>
      </x:c>
      <x:c r="F39" s="18" t="n">
        <x:f>'Forecast'!Q7</x:f>
        <x:v>1000</x:v>
      </x:c>
      <x:c r="G39" s="46" t="n">
        <x:f>'Forecast'!Q171</x:f>
        <x:v>0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</x:sheetData>
  <x:pageMargins left="0.7" right="0.7" top="0.75" bottom="0.75" header="0.3" footer="0.3"/>
  <x:drawing xmlns:r="http://schemas.openxmlformats.org/officeDocument/2006/relationships" r:id="R0d912f964ca94efd"/>
</x:worksheet>
</file>

<file path=xl/worksheets/sheet2.xml><?xml version="1.0" encoding="utf-8"?>
<x:worksheet xmlns:x="http://schemas.openxmlformats.org/spreadsheetml/2006/main">
  <x:sheetPr>
    <x:tabColor rgb="FF63798B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3" hidden="0" customWidth="1"/>
    <x:col min="5" max="5" width="17" hidden="0" customWidth="1"/>
    <x:col min="6" max="6" width="30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13" hidden="0" customWidth="1"/>
    <x:col min="13" max="13" width="86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1"/>
      <x:c r="B2" s="1"/>
      <x:c r="C2" s="2" t="str">
        <x:v>Forecast assumptions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1" customHeight="1">
      <x:c r="A4" s="1"/>
      <x:c r="B4" s="1"/>
      <x:c r="C4" s="1" t="str">
        <x:v>Case selected:</x:v>
      </x:c>
      <x:c r="D4" s="1"/>
      <x:c r="E4" s="11" t="n">
        <x:v>5</x:v>
      </x:c>
      <x:c r="F4" s="5" t="str">
        <x:f>CHOOSE(E4,"Original PR91","Initial polling increment","Event-driven target","Hybrid target","Host-local full scope")</x:f>
        <x:v>Host-local full scope</x:v>
      </x:c>
      <x:c r="G4" s="12"/>
      <x:c r="H4" s="12"/>
      <x:c r="I4" s="13"/>
      <x:c r="J4" s="4"/>
      <x:c r="K4" s="1"/>
      <x:c r="L4" s="1"/>
      <x:c r="M4" s="1" t="str">
        <x:v>Cases 3 to 5 are planning scenarios. Case 5 models full host-local scope, leases, trust refresh, durable archives, retries and recovery.</x:v>
      </x:c>
      <x:c r="N4" s="1"/>
      <x:c r="O4" s="1"/>
      <x:c r="P4" s="1"/>
      <x:c r="Q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1"/>
      <x:c r="B6" s="1"/>
      <x:c r="C6" s="1"/>
      <x:c r="D6" s="1"/>
      <x:c r="E6" s="1"/>
      <x:c r="F6" s="14" t="n">
        <x:v>46299</x:v>
      </x:c>
      <x:c r="G6" s="14" t="n">
        <x:v>46327</x:v>
      </x:c>
      <x:c r="H6" s="14" t="n">
        <x:v>46357</x:v>
      </x:c>
      <x:c r="I6" s="14" t="n">
        <x:v>46388</x:v>
      </x:c>
      <x:c r="J6" s="14" t="n">
        <x:v>46419</x:v>
      </x:c>
      <x:c r="K6" s="14" t="n">
        <x:v>46447</x:v>
      </x:c>
      <x:c r="L6" s="14" t="n">
        <x:v>46478</x:v>
      </x:c>
      <x:c r="M6" s="14" t="n">
        <x:v>46508</x:v>
      </x:c>
      <x:c r="N6" s="14" t="n">
        <x:v>46539</x:v>
      </x:c>
      <x:c r="O6" s="14" t="n">
        <x:v>46569</x:v>
      </x:c>
      <x:c r="P6" s="14" t="n">
        <x:v>46600</x:v>
      </x:c>
      <x:c r="Q6" s="14" t="n">
        <x:v>46631</x:v>
      </x:c>
    </x:row>
    <x:row r="7" ht="21" customHeight="1">
      <x:c r="A7" s="1"/>
      <x:c r="B7" s="1"/>
      <x:c r="C7" s="1" t="str">
        <x:v>Average daily active users (DAU)</x:v>
      </x:c>
      <x:c r="D7" s="1"/>
      <x:c r="E7" s="1"/>
      <x:c r="F7" s="15" t="n">
        <x:v>100</x:v>
      </x:c>
      <x:c r="G7" s="15" t="n">
        <x:v>150</x:v>
      </x:c>
      <x:c r="H7" s="15" t="n">
        <x:v>220</x:v>
      </x:c>
      <x:c r="I7" s="15" t="n">
        <x:v>300</x:v>
      </x:c>
      <x:c r="J7" s="15" t="n">
        <x:v>400</x:v>
      </x:c>
      <x:c r="K7" s="15" t="n">
        <x:v>500</x:v>
      </x:c>
      <x:c r="L7" s="15" t="n">
        <x:v>600</x:v>
      </x:c>
      <x:c r="M7" s="15" t="n">
        <x:v>700</x:v>
      </x:c>
      <x:c r="N7" s="15" t="n">
        <x:v>800</x:v>
      </x:c>
      <x:c r="O7" s="15" t="n">
        <x:v>900</x:v>
      </x:c>
      <x:c r="P7" s="15" t="n">
        <x:v>1000</x:v>
      </x:c>
      <x:c r="Q7" s="15" t="n">
        <x:v>1000</x:v>
      </x:c>
    </x:row>
    <x:row r="8" ht="21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 t="str">
        <x:v>Editable inputs are blue. Rates checked 4 October 2026. FX is a budget assumption.</x:v>
      </x:c>
      <x:c r="N9" s="1"/>
      <x:c r="O9" s="1"/>
      <x:c r="P9" s="1"/>
      <x:c r="Q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4" customHeight="1">
      <x:c r="A11" s="1"/>
      <x:c r="B11" s="1"/>
      <x:c r="C11" s="17" t="str">
        <x:v>Usage per heavy account over 30 days (cases 1–4)</x:v>
      </x:c>
      <x:c r="D11" s="17"/>
      <x:c r="E11" s="17"/>
      <x:c r="F11" s="17"/>
      <x:c r="G11" s="17"/>
      <x:c r="H11" s="17"/>
      <x:c r="I11" s="17"/>
      <x:c r="J11" s="17"/>
      <x:c r="K11" s="17"/>
      <x:c r="L11" s="1"/>
      <x:c r="M11" s="1"/>
      <x:c r="N11" s="1"/>
      <x:c r="O11" s="1"/>
      <x:c r="P11" s="1"/>
      <x:c r="Q11" s="1"/>
    </x:row>
    <x:row r="12" ht="21" customHeight="1">
      <x:c r="A12" s="1"/>
      <x:c r="B12" s="1"/>
      <x:c r="C12" s="1"/>
      <x:c r="D12" s="1"/>
      <x:c r="E12" s="1" t="str">
        <x:v>Active</x:v>
      </x:c>
      <x:c r="F12" s="1" t="str">
        <x:v>Original PR91</x:v>
      </x:c>
      <x:c r="G12" s="1" t="str">
        <x:v>Initial increment</x:v>
      </x:c>
      <x:c r="H12" s="1" t="str">
        <x:v>Event target</x:v>
      </x:c>
      <x:c r="I12" s="1" t="str">
        <x:v>Hybrid target</x:v>
      </x:c>
      <x:c r="J12" s="1" t="str">
        <x:v>Host-local</x:v>
      </x:c>
      <x:c r="K12" s="1"/>
      <x:c r="L12" s="1"/>
      <x:c r="M12" s="1"/>
      <x:c r="N12" s="1"/>
      <x:c r="O12" s="1"/>
      <x:c r="P12" s="1"/>
      <x:c r="Q12" s="1"/>
    </x:row>
    <x:row r="13" ht="21" customHeight="1">
      <x:c r="A13" s="1"/>
      <x:c r="B13" s="1"/>
      <x:c r="C13" s="1" t="str">
        <x:v>Worker HTTP requests</x:v>
      </x:c>
      <x:c r="D13" s="1"/>
      <x:c r="E13" s="18" t="n">
        <x:f>IF($E$4=5,0,CHOOSE($E$4,F13,G13,H13,I13,J13))</x:f>
        <x:v>0</x:v>
      </x:c>
      <x:c r="F13" s="19" t="n">
        <x:v>3500000</x:v>
      </x:c>
      <x:c r="G13" s="19" t="n">
        <x:v>1500000</x:v>
      </x:c>
      <x:c r="H13" s="19" t="n">
        <x:v>300000</x:v>
      </x:c>
      <x:c r="I13" s="19" t="n">
        <x:v>301000</x:v>
      </x:c>
      <x:c r="J13" s="19" t="n">
        <x:v>0</x:v>
      </x:c>
      <x:c r="K13" s="1"/>
      <x:c r="L13" s="1"/>
      <x:c r="M13" s="1" t="str">
        <x:v>Case 5 calculations use the separate host-local inputs below; its zeros here do not represent zero traffic.</x:v>
      </x:c>
      <x:c r="N13" s="1"/>
      <x:c r="O13" s="1"/>
      <x:c r="P13" s="1"/>
      <x:c r="Q13" s="1"/>
    </x:row>
    <x:row r="14" ht="21" customHeight="1">
      <x:c r="A14" s="1"/>
      <x:c r="B14" s="1"/>
      <x:c r="C14" s="1" t="str">
        <x:v>Backend-object requests</x:v>
      </x:c>
      <x:c r="D14" s="1"/>
      <x:c r="E14" s="18" t="n">
        <x:f>IF($E$4=5,0,CHOOSE($E$4,F14,G14,H14,I14,J14))</x:f>
        <x:v>0</x:v>
      </x:c>
      <x:c r="F14" s="19" t="n">
        <x:v>7200000</x:v>
      </x:c>
      <x:c r="G14" s="19" t="n">
        <x:v>3200000</x:v>
      </x:c>
      <x:c r="H14" s="19" t="n">
        <x:v>650000</x:v>
      </x:c>
      <x:c r="I14" s="19" t="n">
        <x:v>610000</x:v>
      </x:c>
      <x:c r="J14" s="19" t="n">
        <x:v>0</x:v>
      </x:c>
      <x:c r="K14" s="1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1" t="str">
        <x:v>SQLite rows read</x:v>
      </x:c>
      <x:c r="D15" s="1"/>
      <x:c r="E15" s="18" t="n">
        <x:f>IF($E$4=5,0,CHOOSE($E$4,F15,G15,H15,I15,J15))</x:f>
        <x:v>0</x:v>
      </x:c>
      <x:c r="F15" s="19" t="n">
        <x:v>35000000</x:v>
      </x:c>
      <x:c r="G15" s="19" t="n">
        <x:v>15000000</x:v>
      </x:c>
      <x:c r="H15" s="19" t="n">
        <x:v>3000000</x:v>
      </x:c>
      <x:c r="I15" s="19" t="n">
        <x:v>3000000</x:v>
      </x:c>
      <x:c r="J15" s="19" t="n">
        <x:v>0</x:v>
      </x:c>
      <x:c r="K15" s="1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1" t="str">
        <x:v>SQLite rows written</x:v>
      </x:c>
      <x:c r="D16" s="1"/>
      <x:c r="E16" s="18" t="n">
        <x:f>IF($E$4=5,0,CHOOSE($E$4,F16,G16,H16,I16,J16))</x:f>
        <x:v>0</x:v>
      </x:c>
      <x:c r="F16" s="19" t="n">
        <x:v>200000</x:v>
      </x:c>
      <x:c r="G16" s="19" t="n">
        <x:v>200000</x:v>
      </x:c>
      <x:c r="H16" s="19" t="n">
        <x:v>200000</x:v>
      </x:c>
      <x:c r="I16" s="19" t="n">
        <x:v>200000</x:v>
      </x:c>
      <x:c r="J16" s="19" t="n">
        <x:v>0</x:v>
      </x:c>
      <x:c r="K16" s="1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 t="str">
        <x:v>Account awake share of online hours</x:v>
      </x:c>
      <x:c r="D17" s="1"/>
      <x:c r="E17" s="20" t="n">
        <x:f>IF($E$4=5,0,CHOOSE($E$4,F17,G17,H17,I17,J17))</x:f>
        <x:v>0</x:v>
      </x:c>
      <x:c r="F17" s="21" t="n">
        <x:v>0.1</x:v>
      </x:c>
      <x:c r="G17" s="21" t="n">
        <x:v>0.1</x:v>
      </x:c>
      <x:c r="H17" s="21" t="n">
        <x:v>0.1</x:v>
      </x:c>
      <x:c r="I17" s="21" t="n">
        <x:v>0.01</x:v>
      </x:c>
      <x:c r="J17" s="21" t="n">
        <x:v>0</x:v>
      </x:c>
      <x:c r="K17" s="1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4" customHeight="1">
      <x:c r="A19" s="1"/>
      <x:c r="B19" s="1"/>
      <x:c r="C19" s="17" t="str">
        <x:v>Active-user mix</x:v>
      </x:c>
      <x:c r="D19" s="17"/>
      <x:c r="E19" s="17"/>
      <x:c r="F19" s="17"/>
      <x:c r="G19" s="17"/>
      <x:c r="H19" s="17"/>
      <x:c r="I19" s="17"/>
      <x:c r="J19" s="17"/>
      <x:c r="K19" s="17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/>
      <x:c r="D20" s="1"/>
      <x:c r="E20" s="1" t="str">
        <x:v>Share</x:v>
      </x:c>
      <x:c r="F20" s="1" t="str">
        <x:v>Hours per day</x:v>
      </x:c>
      <x:c r="G20" s="1" t="str">
        <x:v>Online devices</x:v>
      </x:c>
      <x:c r="H20" s="1" t="str">
        <x:v>Request weight</x:v>
      </x:c>
      <x:c r="I20" s="1" t="str">
        <x:v>Account-hours weight</x:v>
      </x:c>
      <x:c r="J20" s="1"/>
      <x:c r="K20" s="1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 t="str">
        <x:v>Light</x:v>
      </x:c>
      <x:c r="D21" s="1"/>
      <x:c r="E21" s="21" t="n">
        <x:v>0.6</x:v>
      </x:c>
      <x:c r="F21" s="15" t="n">
        <x:v>0.4</x:v>
      </x:c>
      <x:c r="G21" s="15" t="n">
        <x:v>1</x:v>
      </x:c>
      <x:c r="H21" s="22" t="n">
        <x:f>E21*F21*G21/24</x:f>
        <x:v>0.01</x:v>
      </x:c>
      <x:c r="I21" s="22" t="n">
        <x:f>E21*F21/8</x:f>
        <x:v>0.03</x:v>
      </x:c>
      <x:c r="J21" s="1"/>
      <x:c r="K21" s="1"/>
      <x:c r="L21" s="1"/>
      <x:c r="M21" s="1" t="str">
        <x:v>Connected app hours, including background activity. Three heavy devices share one account object.</x:v>
      </x:c>
      <x:c r="N21" s="1"/>
      <x:c r="O21" s="1"/>
      <x:c r="P21" s="1"/>
      <x:c r="Q21" s="1"/>
    </x:row>
    <x:row r="22" ht="21" customHeight="1">
      <x:c r="A22" s="1"/>
      <x:c r="B22" s="1"/>
      <x:c r="C22" s="1" t="str">
        <x:v>Regular</x:v>
      </x:c>
      <x:c r="D22" s="1"/>
      <x:c r="E22" s="21" t="n">
        <x:v>0.25</x:v>
      </x:c>
      <x:c r="F22" s="15" t="n">
        <x:v>2</x:v>
      </x:c>
      <x:c r="G22" s="15" t="n">
        <x:v>2</x:v>
      </x:c>
      <x:c r="H22" s="22" t="n">
        <x:f>E22*F22*G22/24</x:f>
        <x:v>0.041666666666666664</x:v>
      </x:c>
      <x:c r="I22" s="22" t="n">
        <x:f>E22*F22/8</x:f>
        <x:v>0.0625</x:v>
      </x:c>
      <x:c r="J22" s="1"/>
      <x:c r="K22" s="1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 t="str">
        <x:v>Heavy</x:v>
      </x:c>
      <x:c r="D23" s="1"/>
      <x:c r="E23" s="21" t="n">
        <x:v>0.15</x:v>
      </x:c>
      <x:c r="F23" s="15" t="n">
        <x:v>8</x:v>
      </x:c>
      <x:c r="G23" s="15" t="n">
        <x:v>3</x:v>
      </x:c>
      <x:c r="H23" s="22" t="n">
        <x:f>E23*F23*G23/24</x:f>
        <x:v>0.15</x:v>
      </x:c>
      <x:c r="I23" s="22" t="n">
        <x:f>E23*F23/8</x:f>
        <x:v>0.15</x:v>
      </x:c>
      <x:c r="J23" s="1"/>
      <x:c r="K23" s="1"/>
      <x:c r="L23" s="1"/>
      <x:c r="M23" s="1"/>
      <x:c r="N23" s="1"/>
      <x:c r="O23" s="1"/>
      <x:c r="P23" s="1"/>
      <x:c r="Q23" s="1"/>
    </x:row>
    <x:row r="24" ht="21" customHeight="1">
      <x:c r="A24" s="1"/>
      <x:c r="B24" s="1"/>
      <x:c r="C24" s="1" t="str">
        <x:v>Total</x:v>
      </x:c>
      <x:c r="D24" s="1"/>
      <x:c r="E24" s="22" t="n">
        <x:f>SUM(E21:E23)</x:f>
        <x:v>1</x:v>
      </x:c>
      <x:c r="F24" s="22"/>
      <x:c r="G24" s="22"/>
      <x:c r="H24" s="22" t="n">
        <x:f>SUM(H21:H23)</x:f>
        <x:v>0.20166666666666666</x:v>
      </x:c>
      <x:c r="I24" s="22" t="n">
        <x:f>SUM(I21:I23)</x:f>
        <x:v>0.2425</x:v>
      </x:c>
      <x:c r="J24" s="1"/>
      <x:c r="K24" s="1"/>
      <x:c r="L24" s="1"/>
      <x:c r="M24" s="1"/>
      <x:c r="N24" s="1"/>
      <x:c r="O24" s="1"/>
      <x:c r="P24" s="1"/>
      <x:c r="Q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4" customHeight="1">
      <x:c r="A27" s="1"/>
      <x:c r="B27" s="1"/>
      <x:c r="C27" s="17" t="str">
        <x:v>Host-local full-scope assumptions</x:v>
      </x:c>
      <x:c r="D27" s="17"/>
      <x:c r="E27" s="17"/>
      <x:c r="F27" s="17"/>
      <x:c r="G27" s="17"/>
      <x:c r="H27" s="17"/>
      <x:c r="I27" s="17"/>
      <x:c r="J27" s="17"/>
      <x:c r="K27" s="17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 t="str">
        <x:v>Registered execution hosts per MAU</x:v>
      </x:c>
      <x:c r="D28" s="1"/>
      <x:c r="E28" s="23" t="n">
        <x:v>3</x:v>
      </x:c>
      <x:c r="F28" s="1"/>
      <x:c r="G28" s="1"/>
      <x:c r="H28" s="1"/>
      <x:c r="I28" s="1"/>
      <x:c r="J28" s="1"/>
      <x:c r="K28" s="1"/>
      <x:c r="L28" s="1"/>
      <x:c r="M28" s="1" t="str">
        <x:v>Unmeasured planning input. Replace after representative workload metering.</x:v>
      </x:c>
      <x:c r="N28" s="1"/>
      <x:c r="O28" s="1"/>
      <x:c r="P28" s="1"/>
      <x:c r="Q28" s="1"/>
    </x:row>
    <x:row r="29" ht="21" customHeight="1">
      <x:c r="A29" s="1"/>
      <x:c r="B29" s="1"/>
      <x:c r="C29" s="1" t="str">
        <x:v>Average connected devices per DAU</x:v>
      </x:c>
      <x:c r="D29" s="1"/>
      <x:c r="E29" s="23" t="n">
        <x:v>1.55</x:v>
      </x:c>
      <x:c r="F29" s="1"/>
      <x:c r="G29" s="1"/>
      <x:c r="H29" s="1"/>
      <x:c r="I29" s="1"/>
      <x:c r="J29" s="1"/>
      <x:c r="K29" s="1"/>
      <x:c r="L29" s="1"/>
      <x:c r="M29" s="1" t="str">
        <x:v>Independent average connection count; device-hours and attempt-hours are separate inputs.</x:v>
      </x:c>
      <x:c r="N29" s="1"/>
      <x:c r="O29" s="1"/>
      <x:c r="P29" s="1"/>
      <x:c r="Q29" s="1"/>
    </x:row>
    <x:row r="30" ht="21" customHeight="1">
      <x:c r="A30" s="1"/>
      <x:c r="B30" s="1"/>
      <x:c r="C30" s="1" t="str">
        <x:v>Connected device-hours per DAU per day</x:v>
      </x:c>
      <x:c r="D30" s="1"/>
      <x:c r="E30" s="23" t="n">
        <x:v>4.84</x:v>
      </x:c>
      <x:c r="F30" s="1"/>
      <x:c r="G30" s="1"/>
      <x:c r="H30" s="1"/>
      <x:c r="I30" s="1"/>
      <x:c r="J30" s="1"/>
      <x:c r="K30" s="1"/>
      <x:c r="L30" s="1"/>
      <x:c r="M30" s="1" t="str">
        <x:v>Average across active users; does not derive from the attempt-hours assumption.</x:v>
      </x:c>
      <x:c r="N30" s="1"/>
      <x:c r="O30" s="1"/>
      <x:c r="P30" s="1"/>
      <x:c r="Q30" s="1"/>
    </x:row>
    <x:row r="31" ht="21" customHeight="1">
      <x:c r="A31" s="1"/>
      <x:c r="B31" s="1"/>
      <x:c r="C31" s="1" t="str">
        <x:v>Active attempt-hours per DAU per day</x:v>
      </x:c>
      <x:c r="D31" s="1"/>
      <x:c r="E31" s="23" t="n">
        <x:v>0.25</x:v>
      </x:c>
      <x:c r="F31" s="1"/>
      <x:c r="G31" s="1"/>
      <x:c r="H31" s="1"/>
      <x:c r="I31" s="1"/>
      <x:c r="J31" s="1"/>
      <x:c r="K31" s="1"/>
      <x:c r="L31" s="1"/>
      <x:c r="M31" s="1" t="str">
        <x:v>Independent attempt activity input. The current value is a planning assumption, not usage evidence.</x:v>
      </x:c>
      <x:c r="N31" s="1"/>
      <x:c r="O31" s="1"/>
      <x:c r="P31" s="1"/>
      <x:c r="Q31" s="1"/>
    </x:row>
    <x:row r="32" ht="21" customHeight="1">
      <x:c r="A32" s="1"/>
      <x:c r="B32" s="1"/>
      <x:c r="C32" s="1" t="str">
        <x:v>Active viewer-hours per DAU per day</x:v>
      </x:c>
      <x:c r="D32" s="1"/>
      <x:c r="E32" s="23" t="n">
        <x:v>4.84</x:v>
      </x:c>
      <x:c r="F32" s="1"/>
      <x:c r="G32" s="1"/>
      <x:c r="H32" s="1"/>
      <x:c r="I32" s="1"/>
      <x:c r="J32" s="1"/>
      <x:c r="K32" s="1"/>
      <x:c r="L32" s="1"/>
      <x:c r="M32" s="1" t="str">
        <x:v>Independent active-viewer session time. It is not inferred from connected-device or attempt-hours; measure direct subscription time.</x:v>
      </x:c>
      <x:c r="N32" s="1"/>
      <x:c r="O32" s="1"/>
      <x:c r="P32" s="1"/>
      <x:c r="Q32" s="1"/>
    </x:row>
    <x:row r="33" ht="21" customHeight="1">
      <x:c r="A33" s="1"/>
      <x:c r="B33" s="1"/>
      <x:c r="C33" s="1" t="str">
        <x:v>Broker and service HTTP requests per DAU-day</x:v>
      </x:c>
      <x:c r="D33" s="1"/>
      <x:c r="E33" s="23" t="n">
        <x:v>50</x:v>
      </x:c>
      <x:c r="F33" s="1"/>
      <x:c r="G33" s="1"/>
      <x:c r="H33" s="1"/>
      <x:c r="I33" s="1"/>
      <x:c r="J33" s="1"/>
      <x:c r="K33" s="1"/>
      <x:c r="L33" s="1"/>
      <x:c r="M33" s="1" t="str">
        <x:v>Unmeasured planning input. Replace after representative workload metering.</x:v>
      </x:c>
      <x:c r="N33" s="1"/>
      <x:c r="O33" s="1"/>
      <x:c r="P33" s="1"/>
      <x:c r="Q33" s="1"/>
    </x:row>
    <x:row r="34" ht="21" customHeight="1">
      <x:c r="A34" s="1"/>
      <x:c r="B34" s="1"/>
      <x:c r="C34" s="1" t="str">
        <x:v>Non-WebSocket object requests per DAU-day</x:v>
      </x:c>
      <x:c r="D34" s="1"/>
      <x:c r="E34" s="23" t="n">
        <x:v>13</x:v>
      </x:c>
      <x:c r="F34" s="1"/>
      <x:c r="G34" s="1"/>
      <x:c r="H34" s="1"/>
      <x:c r="I34" s="1"/>
      <x:c r="J34" s="1"/>
      <x:c r="K34" s="1"/>
      <x:c r="L34" s="1"/>
      <x:c r="M34" s="1" t="str">
        <x:v>Unmeasured planning input. Replace after representative workload metering.</x:v>
      </x:c>
      <x:c r="N34" s="1"/>
      <x:c r="O34" s="1"/>
      <x:c r="P34" s="1"/>
      <x:c r="Q34" s="1"/>
    </x:row>
    <x:row r="35" ht="21" customHeight="1">
      <x:c r="A35" s="1"/>
      <x:c r="B35" s="1"/>
      <x:c r="C35" s="1" t="str">
        <x:v>Non-WebSocket object seconds per DAU-day</x:v>
      </x:c>
      <x:c r="D35" s="1"/>
      <x:c r="E35" s="23" t="n">
        <x:v>3</x:v>
      </x:c>
      <x:c r="F35" s="1"/>
      <x:c r="G35" s="1"/>
      <x:c r="H35" s="1"/>
      <x:c r="I35" s="1"/>
      <x:c r="J35" s="1"/>
      <x:c r="K35" s="1"/>
      <x:c r="L35" s="1"/>
      <x:c r="M35" s="1" t="str">
        <x:v>Unmeasured planning input. Replace after representative workload metering.</x:v>
      </x:c>
      <x:c r="N35" s="1"/>
      <x:c r="O35" s="1"/>
      <x:c r="P35" s="1"/>
      <x:c r="Q35" s="1"/>
    </x:row>
    <x:row r="36" ht="21" customHeight="1">
      <x:c r="A36" s="1"/>
      <x:c r="B36" s="1"/>
      <x:c r="C36" s="1" t="str">
        <x:v>Incoming WebSocket messages per billable request</x:v>
      </x:c>
      <x:c r="D36" s="1"/>
      <x:c r="E36" s="23" t="n">
        <x:v>20</x:v>
      </x:c>
      <x:c r="F36" s="1"/>
      <x:c r="G36" s="1"/>
      <x:c r="H36" s="1"/>
      <x:c r="I36" s="1"/>
      <x:c r="J36" s="1"/>
      <x:c r="K36" s="1"/>
      <x:c r="L36" s="1"/>
      <x:c r="M36" s="1" t="str">
        <x:v>Incoming frames only; outgoing frames do not add request charges.</x:v>
      </x:c>
      <x:c r="N36" s="1"/>
      <x:c r="O36" s="1"/>
      <x:c r="P36" s="1"/>
      <x:c r="Q36" s="1"/>
    </x:row>
    <x:row r="37" ht="21" customHeight="1">
      <x:c r="A37" s="1"/>
      <x:c r="B37" s="1"/>
      <x:c r="C37" s="1" t="str">
        <x:v>WebSocket handler seconds per incoming message</x:v>
      </x:c>
      <x:c r="D37" s="1"/>
      <x:c r="E37" s="23" t="n">
        <x:v>0.01</x:v>
      </x:c>
      <x:c r="F37" s="1"/>
      <x:c r="G37" s="1"/>
      <x:c r="H37" s="1"/>
      <x:c r="I37" s="1"/>
      <x:c r="J37" s="1"/>
      <x:c r="K37" s="1"/>
      <x:c r="L37" s="1"/>
      <x:c r="M37" s="1" t="str">
        <x:v>Unmeasured planning input. Replace after representative workload metering.</x:v>
      </x:c>
      <x:c r="N37" s="1"/>
      <x:c r="O37" s="1"/>
      <x:c r="P37" s="1"/>
      <x:c r="Q37" s="1"/>
    </x:row>
    <x:row r="38" ht="21" customHeight="1">
      <x:c r="A38" s="1"/>
      <x:c r="B38" s="1"/>
      <x:c r="C38" s="1" t="str">
        <x:v>Direct host sessions per active viewer-hour</x:v>
      </x:c>
      <x:c r="D38" s="1"/>
      <x:c r="E38" s="23" t="n">
        <x:v>1</x:v>
      </x:c>
      <x:c r="F38" s="1"/>
      <x:c r="G38" s="1"/>
      <x:c r="H38" s="1"/>
      <x:c r="I38" s="1"/>
      <x:c r="J38" s="1"/>
      <x:c r="K38" s="1"/>
      <x:c r="L38" s="1"/>
      <x:c r="M38" s="1" t="str">
        <x:v>Unmeasured target-session fanout per active viewer-hour. One is the default; an all-pairs pool can require two sessions per viewer-hour for three devices.</x:v>
      </x:c>
      <x:c r="N38" s="1"/>
      <x:c r="O38" s="1"/>
      <x:c r="P38" s="1"/>
      <x:c r="Q38" s="1"/>
    </x:row>
    <x:row r="39" ht="21" customHeight="1">
      <x:c r="A39" s="1"/>
      <x:c r="B39" s="1"/>
      <x:c r="C39" s="1" t="str">
        <x:v>Direct host session refresh cadence (seconds)</x:v>
      </x:c>
      <x:c r="D39" s="1"/>
      <x:c r="E39" s="23" t="n">
        <x:v>30</x:v>
      </x:c>
      <x:c r="F39" s="1"/>
      <x:c r="G39" s="1"/>
      <x:c r="H39" s="1"/>
      <x:c r="I39" s="1"/>
      <x:c r="J39" s="1"/>
      <x:c r="K39" s="1"/>
      <x:c r="L39" s="1"/>
      <x:c r="M39" s="1" t="str">
        <x:v>The machine host-session broker revalidation runs every 30 seconds.</x:v>
      </x:c>
      <x:c r="N39" s="1"/>
      <x:c r="O39" s="1"/>
      <x:c r="P39" s="1"/>
      <x:c r="Q39" s="1"/>
    </x:row>
    <x:row r="40" ht="21" customHeight="1">
      <x:c r="A40" s="1"/>
      <x:c r="B40" s="1"/>
      <x:c r="C40" s="1" t="str">
        <x:v>Worker HTTP requests per direct-session refresh</x:v>
      </x:c>
      <x:c r="D40" s="1"/>
      <x:c r="E40" s="23" t="n">
        <x:v>1</x:v>
      </x:c>
      <x:c r="F40" s="1"/>
      <x:c r="G40" s="1"/>
      <x:c r="H40" s="1"/>
      <x:c r="I40" s="1"/>
      <x:c r="J40" s="1"/>
      <x:c r="K40" s="1"/>
      <x:c r="L40" s="1"/>
      <x:c r="M40" s="1" t="str">
        <x:v>One ordinary authenticated HTTP request, not billed with the incoming WebSocket 20:1 factor.</x:v>
      </x:c>
      <x:c r="N40" s="1"/>
      <x:c r="O40" s="1"/>
      <x:c r="P40" s="1"/>
      <x:c r="Q40" s="1"/>
    </x:row>
    <x:row r="41" ht="21" customHeight="1">
      <x:c r="A41" s="1"/>
      <x:c r="B41" s="1"/>
      <x:c r="C41" s="1" t="str">
        <x:v>DO requests per direct-session refresh</x:v>
      </x:c>
      <x:c r="D41" s="1"/>
      <x:c r="E41" s="23" t="n">
        <x:v>4</x:v>
      </x:c>
      <x:c r="F41" s="1"/>
      <x:c r="G41" s="1"/>
      <x:c r="H41" s="1"/>
      <x:c r="I41" s="1"/>
      <x:c r="J41" s="1"/>
      <x:c r="K41" s="1"/>
      <x:c r="L41" s="1"/>
      <x:c r="M41" s="1" t="str">
        <x:v>Four Durable Object invocations: session auth, account presence, host trust and source-session trust.</x:v>
      </x:c>
      <x:c r="N41" s="1"/>
      <x:c r="O41" s="1"/>
      <x:c r="P41" s="1"/>
      <x:c r="Q41" s="1"/>
    </x:row>
    <x:row r="42" ht="21" customHeight="1">
      <x:c r="A42" s="1"/>
      <x:c r="B42" s="1"/>
      <x:c r="C42" s="1" t="str">
        <x:v>DO seconds per direct-session refresh request</x:v>
      </x:c>
      <x:c r="D42" s="1"/>
      <x:c r="E42" s="23" t="n">
        <x:v>0.01</x:v>
      </x:c>
      <x:c r="F42" s="1"/>
      <x:c r="G42" s="1"/>
      <x:c r="H42" s="1"/>
      <x:c r="I42" s="1"/>
      <x:c r="J42" s="1"/>
      <x:c r="K42" s="1"/>
      <x:c r="L42" s="1"/>
      <x:c r="M42" s="1" t="str">
        <x:v>Unmeasured handler-duration planning factor. Idle DO duration is not charged; this applies only to active broker requests.</x:v>
      </x:c>
      <x:c r="N42" s="1"/>
      <x:c r="O42" s="1"/>
      <x:c r="P42" s="1"/>
      <x:c r="Q42" s="1"/>
    </x:row>
    <x:row r="43" ht="21" customHeight="1">
      <x:c r="A43" s="1"/>
      <x:c r="B43" s="1"/>
      <x:c r="C43" s="1" t="str">
        <x:v>Fixed SQLite reads per direct-session refresh</x:v>
      </x:c>
      <x:c r="D43" s="1"/>
      <x:c r="E43" s="23" t="n">
        <x:v>8</x:v>
      </x:c>
      <x:c r="F43" s="1"/>
      <x:c r="G43" s="1"/>
      <x:c r="H43" s="1"/>
      <x:c r="I43" s="1"/>
      <x:c r="J43" s="1"/>
      <x:c r="K43" s="1"/>
      <x:c r="L43" s="1"/>
      <x:c r="M43" s="1" t="str">
        <x:v>Unmeasured fixed-session/auth reads per direct refresh, above the general per-DAU budget.</x:v>
      </x:c>
      <x:c r="N43" s="1"/>
      <x:c r="O43" s="1"/>
      <x:c r="P43" s="1"/>
      <x:c r="Q43" s="1"/>
    </x:row>
    <x:row r="44" ht="21" customHeight="1">
      <x:c r="A44" s="1"/>
      <x:c r="B44" s="1"/>
      <x:c r="C44" s="1" t="str">
        <x:v>Presence SQLite reads per registered host per refresh</x:v>
      </x:c>
      <x:c r="D44" s="1"/>
      <x:c r="E44" s="23" t="n">
        <x:v>4</x:v>
      </x:c>
      <x:c r="F44" s="1"/>
      <x:c r="G44" s="1"/>
      <x:c r="H44" s="1"/>
      <x:c r="I44" s="1"/>
      <x:c r="J44" s="1"/>
      <x:c r="K44" s="1"/>
      <x:c r="L44" s="1"/>
      <x:c r="M44" s="1" t="str">
        <x:v>Unmeasured account-presence scan estimate; 4 rows per registered host adds 12 rows at 3 hosts, for 20 total reads/refresh.</x:v>
      </x:c>
      <x:c r="N44" s="1"/>
      <x:c r="O44" s="1"/>
      <x:c r="P44" s="1"/>
      <x:c r="Q44" s="1"/>
    </x:row>
    <x:row r="45" ht="21" customHeight="1">
      <x:c r="A45" s="1"/>
      <x:c r="B45" s="1"/>
      <x:c r="C45" s="1" t="str">
        <x:v>Open dashboard grant sessions per device-hour</x:v>
      </x:c>
      <x:c r="D45" s="1"/>
      <x:c r="E45" s="23" t="n">
        <x:v>0</x:v>
      </x:c>
      <x:c r="F45" s="1"/>
      <x:c r="G45" s="1"/>
      <x:c r="H45" s="1"/>
      <x:c r="I45" s="1"/>
      <x:c r="J45" s="1"/>
      <x:c r="K45" s="1"/>
      <x:c r="L45" s="1"/>
      <x:c r="M45" s="1" t="str">
        <x:v>Default zero: not every connected device has an open dashboard grant session. Set one for a sensitivity case.</x:v>
      </x:c>
      <x:c r="N45" s="1"/>
      <x:c r="O45" s="1"/>
      <x:c r="P45" s="1"/>
      <x:c r="Q45" s="1"/>
    </x:row>
    <x:row r="46" ht="21" customHeight="1">
      <x:c r="A46" s="1"/>
      <x:c r="B46" s="1"/>
      <x:c r="C46" s="1" t="str">
        <x:v>Dashboard grant refresh cadence (seconds)</x:v>
      </x:c>
      <x:c r="D46" s="1"/>
      <x:c r="E46" s="23" t="n">
        <x:v>30</x:v>
      </x:c>
      <x:c r="F46" s="1"/>
      <x:c r="G46" s="1"/>
      <x:c r="H46" s="1"/>
      <x:c r="I46" s="1"/>
      <x:c r="J46" s="1"/>
      <x:c r="K46" s="1"/>
      <x:c r="L46" s="1"/>
      <x:c r="M46" s="1" t="str">
        <x:v>Dashboard grant session revalidation every 30 seconds while the dashboard session is active.</x:v>
      </x:c>
      <x:c r="N46" s="1"/>
      <x:c r="O46" s="1"/>
      <x:c r="P46" s="1"/>
      <x:c r="Q46" s="1"/>
    </x:row>
    <x:row r="47" ht="21" customHeight="1">
      <x:c r="A47" s="1"/>
      <x:c r="B47" s="1"/>
      <x:c r="C47" s="1" t="str">
        <x:v>Worker HTTP requests per dashboard grant refresh</x:v>
      </x:c>
      <x:c r="D47" s="1"/>
      <x:c r="E47" s="23" t="n">
        <x:v>1</x:v>
      </x:c>
      <x:c r="F47" s="1"/>
      <x:c r="G47" s="1"/>
      <x:c r="H47" s="1"/>
      <x:c r="I47" s="1"/>
      <x:c r="J47" s="1"/>
      <x:c r="K47" s="1"/>
      <x:c r="L47" s="1"/>
      <x:c r="M47" s="1" t="str">
        <x:v>One ordinary authenticated HTTP request per regular grant revalidation RPC.</x:v>
      </x:c>
      <x:c r="N47" s="1"/>
      <x:c r="O47" s="1"/>
      <x:c r="P47" s="1"/>
      <x:c r="Q47" s="1"/>
    </x:row>
    <x:row r="48" ht="21" customHeight="1">
      <x:c r="A48" s="1"/>
      <x:c r="B48" s="1"/>
      <x:c r="C48" s="1" t="str">
        <x:v>DO requests per dashboard grant refresh</x:v>
      </x:c>
      <x:c r="D48" s="1"/>
      <x:c r="E48" s="23" t="n">
        <x:v>2</x:v>
      </x:c>
      <x:c r="F48" s="1"/>
      <x:c r="G48" s="1"/>
      <x:c r="H48" s="1"/>
      <x:c r="I48" s="1"/>
      <x:c r="J48" s="1"/>
      <x:c r="K48" s="1"/>
      <x:c r="L48" s="1"/>
      <x:c r="M48" s="1" t="str">
        <x:v>Two Durable Object calls per regular grant revalidation RPC.</x:v>
      </x:c>
      <x:c r="N48" s="1"/>
      <x:c r="O48" s="1"/>
      <x:c r="P48" s="1"/>
      <x:c r="Q48" s="1"/>
    </x:row>
    <x:row r="49" ht="21" customHeight="1">
      <x:c r="A49" s="1"/>
      <x:c r="B49" s="1"/>
      <x:c r="C49" s="1" t="str">
        <x:v>DO seconds per dashboard grant request</x:v>
      </x:c>
      <x:c r="D49" s="1"/>
      <x:c r="E49" s="23" t="n">
        <x:v>0.01</x:v>
      </x:c>
      <x:c r="F49" s="1"/>
      <x:c r="G49" s="1"/>
      <x:c r="H49" s="1"/>
      <x:c r="I49" s="1"/>
      <x:c r="J49" s="1"/>
      <x:c r="K49" s="1"/>
      <x:c r="L49" s="1"/>
      <x:c r="M49" s="1" t="str">
        <x:v>Unmeasured handler-duration planning factor; idle DO duration is not charged.</x:v>
      </x:c>
      <x:c r="N49" s="1"/>
      <x:c r="O49" s="1"/>
      <x:c r="P49" s="1"/>
      <x:c r="Q49" s="1"/>
    </x:row>
    <x:row r="50" ht="21" customHeight="1">
      <x:c r="A50" s="1"/>
      <x:c r="B50" s="1"/>
      <x:c r="C50" s="1" t="str">
        <x:v>SQLite reads per dashboard grant refresh</x:v>
      </x:c>
      <x:c r="D50" s="1"/>
      <x:c r="E50" s="23" t="n">
        <x:v>5</x:v>
      </x:c>
      <x:c r="F50" s="1"/>
      <x:c r="G50" s="1"/>
      <x:c r="H50" s="1"/>
      <x:c r="I50" s="1"/>
      <x:c r="J50" s="1"/>
      <x:c r="K50" s="1"/>
      <x:c r="L50" s="1"/>
      <x:c r="M50" s="1" t="str">
        <x:v>Explicit five-row-read estimate; exact row/index amplification is unmeasured.</x:v>
      </x:c>
      <x:c r="N50" s="1"/>
      <x:c r="O50" s="1"/>
      <x:c r="P50" s="1"/>
      <x:c r="Q50" s="1"/>
    </x:row>
    <x:row r="51" ht="21" customHeight="1">
      <x:c r="A51" s="1"/>
      <x:c r="B51" s="1"/>
      <x:c r="C51" s="1" t="str">
        <x:v>Active attempt jobs using the machine protocol</x:v>
      </x:c>
      <x:c r="D51" s="1"/>
      <x:c r="E51" s="21" t="n">
        <x:v>1</x:v>
      </x:c>
      <x:c r="F51" s="1"/>
      <x:c r="G51" s="1"/>
      <x:c r="H51" s="1"/>
      <x:c r="I51" s="1"/>
      <x:c r="J51" s="1"/>
      <x:c r="K51" s="1"/>
      <x:c r="L51" s="1"/>
      <x:c r="M51" s="1" t="str">
        <x:v>Unmeasured release-target share. Set 0 to model the current machine-flag-off account WebSocket live+durable fallback; 100% is the intended greenfield path.</x:v>
      </x:c>
      <x:c r="N51" s="1"/>
      <x:c r="O51" s="1"/>
      <x:c r="P51" s="1"/>
      <x:c r="Q51" s="1"/>
    </x:row>
    <x:row r="52" ht="21" customHeight="1">
      <x:c r="A52" s="1"/>
      <x:c r="B52" s="1"/>
      <x:c r="C52" s="1" t="str">
        <x:v>Illustrative ephemeral status frames per terminal job</x:v>
      </x:c>
      <x:c r="D52" s="1"/>
      <x:c r="E52" s="23" t="n">
        <x:v>32</x:v>
      </x:c>
      <x:c r="F52" s="1"/>
      <x:c r="G52" s="1"/>
      <x:c r="H52" s="1"/>
      <x:c r="I52" s="1"/>
      <x:c r="J52" s="1"/>
      <x:c r="K52" s="1"/>
      <x:c r="L52" s="1"/>
      <x:c r="M52" s="1" t="str">
        <x:v>Bounded illustrative case only, not a backend cap or measured rate; 32 frames/job at 1 KiB each is 32 KiB within the 1 MiB/job activity budget.</x:v>
      </x:c>
      <x:c r="N52" s="1"/>
      <x:c r="O52" s="1"/>
      <x:c r="P52" s="1"/>
      <x:c r="Q52" s="1"/>
    </x:row>
    <x:row r="53" ht="21" customHeight="1">
      <x:c r="A53" s="1"/>
      <x:c r="B53" s="1"/>
      <x:c r="C53" s="1" t="str">
        <x:v>Illustrative status frame bytes</x:v>
      </x:c>
      <x:c r="D53" s="1"/>
      <x:c r="E53" s="24" t="n">
        <x:v>1024</x:v>
      </x:c>
      <x:c r="F53" s="1"/>
      <x:c r="G53" s="1"/>
      <x:c r="H53" s="1"/>
      <x:c r="I53" s="1"/>
      <x:c r="J53" s="1"/>
      <x:c r="K53" s="1"/>
      <x:c r="L53" s="1"/>
      <x:c r="M53" s="1" t="str">
        <x:v>Unmeasured illustrative mean; status bytes remain inside the 256 KiB/job durable-history allowance, so they are not added to R2 storage twice.</x:v>
      </x:c>
      <x:c r="N53" s="1"/>
      <x:c r="O53" s="1"/>
      <x:c r="P53" s="1"/>
      <x:c r="Q53" s="1"/>
    </x:row>
    <x:row r="54" ht="21" customHeight="1">
      <x:c r="A54" s="1"/>
      <x:c r="B54" s="1"/>
      <x:c r="C54" s="1" t="str">
        <x:v>Mean durable event frames per append batch</x:v>
      </x:c>
      <x:c r="D54" s="1"/>
      <x:c r="E54" s="23" t="n">
        <x:v>1</x:v>
      </x:c>
      <x:c r="F54" s="1"/>
      <x:c r="G54" s="1"/>
      <x:c r="H54" s="1"/>
      <x:c r="I54" s="1"/>
      <x:c r="J54" s="1"/>
      <x:c r="K54" s="1"/>
      <x:c r="L54" s="1"/>
      <x:c r="M54" s="1" t="str">
        <x:v>Unmeasured mean; batch limit is 50 events and 256 KiB, with client flush at 1 second or terminal/shutdown. One frame/batch is the conservative default.</x:v>
      </x:c>
      <x:c r="N54" s="1"/>
      <x:c r="O54" s="1"/>
      <x:c r="P54" s="1"/>
      <x:c r="Q54" s="1"/>
    </x:row>
    <x:row r="55" ht="21" customHeight="1">
      <x:c r="A55" s="1"/>
      <x:c r="B55" s="1"/>
      <x:c r="C55" s="1" t="str">
        <x:v>Worker HTTP requests per event.append batch</x:v>
      </x:c>
      <x:c r="D55" s="1"/>
      <x:c r="E55" s="23" t="n">
        <x:v>1</x:v>
      </x:c>
      <x:c r="F55" s="1"/>
      <x:c r="G55" s="1"/>
      <x:c r="H55" s="1"/>
      <x:c r="I55" s="1"/>
      <x:c r="J55" s="1"/>
      <x:c r="K55" s="1"/>
      <x:c r="L55" s="1"/>
      <x:c r="M55" s="1" t="str">
        <x:v>One authenticated Worker HTTP request per append batch; this RPC does not use the incoming WebSocket 20:1 billing factor.</x:v>
      </x:c>
      <x:c r="N55" s="1"/>
      <x:c r="O55" s="1"/>
      <x:c r="P55" s="1"/>
      <x:c r="Q55" s="1"/>
    </x:row>
    <x:row r="56" ht="21" customHeight="1">
      <x:c r="A56" s="1"/>
      <x:c r="B56" s="1"/>
      <x:c r="C56" s="1" t="str">
        <x:v>Durable Object requests per event.append batch</x:v>
      </x:c>
      <x:c r="D56" s="1"/>
      <x:c r="E56" s="23" t="n">
        <x:v>2</x:v>
      </x:c>
      <x:c r="F56" s="1"/>
      <x:c r="G56" s="1"/>
      <x:c r="H56" s="1"/>
      <x:c r="I56" s="1"/>
      <x:c r="J56" s="1"/>
      <x:c r="K56" s="1"/>
      <x:c r="L56" s="1"/>
      <x:c r="M56" s="1" t="str">
        <x:v>Two DO calls per normal authenticated HTTP RPC: session validation and account-object forward.</x:v>
      </x:c>
      <x:c r="N56" s="1"/>
      <x:c r="O56" s="1"/>
      <x:c r="P56" s="1"/>
      <x:c r="Q56" s="1"/>
    </x:row>
    <x:row r="57" ht="21" customHeight="1">
      <x:c r="A57" s="1"/>
      <x:c r="B57" s="1"/>
      <x:c r="C57" s="1" t="str">
        <x:v>Durable Object seconds per event.append request</x:v>
      </x:c>
      <x:c r="D57" s="1"/>
      <x:c r="E57" s="23" t="n">
        <x:v>0.01</x:v>
      </x:c>
      <x:c r="F57" s="1"/>
      <x:c r="G57" s="1"/>
      <x:c r="H57" s="1"/>
      <x:c r="I57" s="1"/>
      <x:c r="J57" s="1"/>
      <x:c r="K57" s="1"/>
      <x:c r="L57" s="1"/>
      <x:c r="M57" s="1" t="str">
        <x:v>Unmeasured planning allocation for the two Durable Object requests in a batch.</x:v>
      </x:c>
      <x:c r="N57" s="1"/>
      <x:c r="O57" s="1"/>
      <x:c r="P57" s="1"/>
      <x:c r="Q57" s="1"/>
    </x:row>
    <x:row r="58" ht="21" customHeight="1">
      <x:c r="A58" s="1"/>
      <x:c r="B58" s="1"/>
      <x:c r="C58" s="1" t="str">
        <x:v>Fixed authentication SQLite reads per append batch</x:v>
      </x:c>
      <x:c r="D58" s="1"/>
      <x:c r="E58" s="23" t="n">
        <x:v>3</x:v>
      </x:c>
      <x:c r="F58" s="1"/>
      <x:c r="G58" s="1"/>
      <x:c r="H58" s="1"/>
      <x:c r="I58" s="1"/>
      <x:c r="J58" s="1"/>
      <x:c r="K58" s="1"/>
      <x:c r="L58" s="1"/>
      <x:c r="M58" s="1" t="str">
        <x:v>Three fixed auth reads/batch are an explicit unmeasured estimate, separate from per-event reads.</x:v>
      </x:c>
      <x:c r="N58" s="1"/>
      <x:c r="O58" s="1"/>
      <x:c r="P58" s="1"/>
      <x:c r="Q58" s="1"/>
    </x:row>
    <x:row r="59" ht="21" customHeight="1">
      <x:c r="A59" s="1"/>
      <x:c r="B59" s="1"/>
      <x:c r="C59" s="1" t="str">
        <x:v>SQLite reads per accepted activity event</x:v>
      </x:c>
      <x:c r="D59" s="1"/>
      <x:c r="E59" s="23" t="n">
        <x:v>5</x:v>
      </x:c>
      <x:c r="F59" s="1"/>
      <x:c r="G59" s="1"/>
      <x:c r="H59" s="1"/>
      <x:c r="I59" s="1"/>
      <x:c r="J59" s="1"/>
      <x:c r="K59" s="1"/>
      <x:c r="L59" s="1"/>
      <x:c r="M59" s="1" t="str">
        <x:v>Use five reads per accepted event, within backend estimate of four to five.</x:v>
      </x:c>
      <x:c r="N59" s="1"/>
      <x:c r="O59" s="1"/>
      <x:c r="P59" s="1"/>
      <x:c r="Q59" s="1"/>
    </x:row>
    <x:row r="60" ht="21" customHeight="1">
      <x:c r="A60" s="1"/>
      <x:c r="B60" s="1"/>
      <x:c r="C60" s="1" t="str">
        <x:v>SQLite writes per accepted activity event</x:v>
      </x:c>
      <x:c r="D60" s="1"/>
      <x:c r="E60" s="23" t="n">
        <x:v>4</x:v>
      </x:c>
      <x:c r="F60" s="1"/>
      <x:c r="G60" s="1"/>
      <x:c r="H60" s="1"/>
      <x:c r="I60" s="1"/>
      <x:c r="J60" s="1"/>
      <x:c r="K60" s="1"/>
      <x:c r="L60" s="1"/>
      <x:c r="M60" s="1" t="str">
        <x:v>Four durable writes per accepted event; replay duplicates and over-budget gap rows differ.</x:v>
      </x:c>
      <x:c r="N60" s="1"/>
      <x:c r="O60" s="1"/>
      <x:c r="P60" s="1"/>
      <x:c r="Q60" s="1"/>
    </x:row>
    <x:row r="61" ht="21" customHeight="1">
      <x:c r="A61" s="1"/>
      <x:c r="B61" s="1"/>
      <x:c r="C61" s="1" t="str">
        <x:v>Aggregate counter writes per append batch</x:v>
      </x:c>
      <x:c r="D61" s="1"/>
      <x:c r="E61" s="23" t="n">
        <x:v>2</x:v>
      </x:c>
      <x:c r="F61" s="1"/>
      <x:c r="G61" s="1"/>
      <x:c r="H61" s="1"/>
      <x:c r="I61" s="1"/>
      <x:c r="J61" s="1"/>
      <x:c r="K61" s="1"/>
      <x:c r="L61" s="1"/>
      <x:c r="M61" s="1" t="str">
        <x:v>Two possible aggregate counter writes per batch, not one per event.</x:v>
      </x:c>
      <x:c r="N61" s="1"/>
      <x:c r="O61" s="1"/>
      <x:c r="P61" s="1"/>
      <x:c r="Q61" s="1"/>
    </x:row>
    <x:row r="62" ht="21" customHeight="1">
      <x:c r="A62" s="1"/>
      <x:c r="B62" s="1"/>
      <x:c r="C62" s="1" t="str">
        <x:v>Fallback activity SQLite reads per event</x:v>
      </x:c>
      <x:c r="D62" s="1"/>
      <x:c r="E62" s="23" t="n">
        <x:v>5</x:v>
      </x:c>
      <x:c r="F62" s="1"/>
      <x:c r="G62" s="1"/>
      <x:c r="H62" s="1"/>
      <x:c r="I62" s="1"/>
      <x:c r="J62" s="1"/>
      <x:c r="K62" s="1"/>
      <x:c r="L62" s="1"/>
      <x:c r="M62" s="1" t="str">
        <x:v>Explicit five-read fallback estimate; replace after SQL tracing.</x:v>
      </x:c>
      <x:c r="N62" s="1"/>
      <x:c r="O62" s="1"/>
      <x:c r="P62" s="1"/>
      <x:c r="Q62" s="1"/>
    </x:row>
    <x:row r="63" ht="21" customHeight="1">
      <x:c r="A63" s="1"/>
      <x:c r="B63" s="1"/>
      <x:c r="C63" s="1" t="str">
        <x:v>Fallback activity SQLite writes per event</x:v>
      </x:c>
      <x:c r="D63" s="1"/>
      <x:c r="E63" s="23" t="n">
        <x:v>3</x:v>
      </x:c>
      <x:c r="F63" s="1"/>
      <x:c r="G63" s="1"/>
      <x:c r="H63" s="1"/>
      <x:c r="I63" s="1"/>
      <x:c r="J63" s="1"/>
      <x:c r="K63" s="1"/>
      <x:c r="L63" s="1"/>
      <x:c r="M63" s="1" t="str">
        <x:v>Three durable-write fallback estimate per event; machine-protocol append is modeled separately.</x:v>
      </x:c>
      <x:c r="N63" s="1"/>
      <x:c r="O63" s="1"/>
      <x:c r="P63" s="1"/>
      <x:c r="Q63" s="1"/>
    </x:row>
    <x:row r="64" ht="21" customHeight="1">
      <x:c r="A64" s="1"/>
      <x:c r="B64" s="1"/>
      <x:c r="C64" s="1" t="str">
        <x:v>Active host-session copies per live status frame</x:v>
      </x:c>
      <x:c r="D64" s="1"/>
      <x:c r="E64" s="23" t="n">
        <x:v>1</x:v>
      </x:c>
      <x:c r="F64" s="1"/>
      <x:c r="G64" s="1"/>
      <x:c r="H64" s="1"/>
      <x:c r="I64" s="1"/>
      <x:c r="J64" s="1"/>
      <x:c r="K64" s="1"/>
      <x:c r="L64" s="1"/>
      <x:c r="M64" s="1" t="str">
        <x:v>One active target subscriber per status frame by default. Do not assume all-to-all peer subscriptions; actual fanout is workload-dependent.</x:v>
      </x:c>
      <x:c r="N64" s="1"/>
      <x:c r="O64" s="1"/>
      <x:c r="P64" s="1"/>
      <x:c r="Q64" s="1"/>
    </x:row>
    <x:row r="65" ht="21" customHeight="1">
      <x:c r="A65" s="1"/>
      <x:c r="B65" s="1"/>
      <x:c r="C65" s="1" t="str">
        <x:v>Trust refresh interval (seconds)</x:v>
      </x:c>
      <x:c r="D65" s="1"/>
      <x:c r="E65" s="23" t="n">
        <x:v>60</x:v>
      </x:c>
      <x:c r="F65" s="1"/>
      <x:c r="G65" s="1"/>
      <x:c r="H65" s="1"/>
      <x:c r="I65" s="1"/>
      <x:c r="J65" s="1"/>
      <x:c r="K65" s="1"/>
      <x:c r="L65" s="1"/>
      <x:c r="M65" s="1" t="str">
        <x:v>Unmeasured planning input. Replace after representative workload metering.</x:v>
      </x:c>
      <x:c r="N65" s="1"/>
      <x:c r="O65" s="1"/>
      <x:c r="P65" s="1"/>
      <x:c r="Q65" s="1"/>
    </x:row>
    <x:row r="66" ht="21" customHeight="1">
      <x:c r="A66" s="1"/>
      <x:c r="B66" s="1"/>
      <x:c r="C66" s="1" t="str">
        <x:v>Attempt lease length (seconds)</x:v>
      </x:c>
      <x:c r="D66" s="1"/>
      <x:c r="E66" s="23" t="n">
        <x:v>120</x:v>
      </x:c>
      <x:c r="F66" s="1"/>
      <x:c r="G66" s="1"/>
      <x:c r="H66" s="1"/>
      <x:c r="I66" s="1"/>
      <x:c r="J66" s="1"/>
      <x:c r="K66" s="1"/>
      <x:c r="L66" s="1"/>
      <x:c r="M66" s="1" t="str">
        <x:v>Existing protocol cadence retained in the initial migration.</x:v>
      </x:c>
      <x:c r="N66" s="1"/>
      <x:c r="O66" s="1"/>
      <x:c r="P66" s="1"/>
      <x:c r="Q66" s="1"/>
    </x:row>
    <x:row r="67" ht="21" customHeight="1">
      <x:c r="A67" s="1"/>
      <x:c r="B67" s="1"/>
      <x:c r="C67" s="1" t="str">
        <x:v>Attempt lease renewal interval (seconds)</x:v>
      </x:c>
      <x:c r="D67" s="1"/>
      <x:c r="E67" s="23" t="n">
        <x:v>30</x:v>
      </x:c>
      <x:c r="F67" s="1"/>
      <x:c r="G67" s="1"/>
      <x:c r="H67" s="1"/>
      <x:c r="I67" s="1"/>
      <x:c r="J67" s="1"/>
      <x:c r="K67" s="1"/>
      <x:c r="L67" s="1"/>
      <x:c r="M67" s="1" t="str">
        <x:v>Existing protocol cadence retained in the initial migration.</x:v>
      </x:c>
      <x:c r="N67" s="1"/>
      <x:c r="O67" s="1"/>
      <x:c r="P67" s="1"/>
      <x:c r="Q67" s="1"/>
    </x:row>
    <x:row r="68" ht="21" customHeight="1">
      <x:c r="A68" s="1"/>
      <x:c r="B68" s="1"/>
      <x:c r="C68" s="1" t="str">
        <x:v>Worker presence interval when idle (seconds)</x:v>
      </x:c>
      <x:c r="D68" s="1"/>
      <x:c r="E68" s="23" t="n">
        <x:v>90</x:v>
      </x:c>
      <x:c r="F68" s="1"/>
      <x:c r="G68" s="1"/>
      <x:c r="H68" s="1"/>
      <x:c r="I68" s="1"/>
      <x:c r="J68" s="1"/>
      <x:c r="K68" s="1"/>
      <x:c r="L68" s="1"/>
      <x:c r="M68" s="1" t="str">
        <x:v>Existing protocol cadence retained in the initial migration.</x:v>
      </x:c>
      <x:c r="N68" s="1"/>
      <x:c r="O68" s="1"/>
      <x:c r="P68" s="1"/>
      <x:c r="Q68" s="1"/>
    </x:row>
    <x:row r="69" ht="21" customHeight="1">
      <x:c r="A69" s="1"/>
      <x:c r="B69" s="1"/>
      <x:c r="C69" s="1" t="str">
        <x:v>SQLite writes per attempt renewal</x:v>
      </x:c>
      <x:c r="D69" s="1"/>
      <x:c r="E69" s="23" t="n">
        <x:v>2</x:v>
      </x:c>
      <x:c r="F69" s="1"/>
      <x:c r="G69" s="1"/>
      <x:c r="H69" s="1"/>
      <x:c r="I69" s="1"/>
      <x:c r="J69" s="1"/>
      <x:c r="K69" s="1"/>
      <x:c r="L69" s="1"/>
      <x:c r="M69" s="1" t="str">
        <x:v>Attempt and worker rows remain written on each renewal.</x:v>
      </x:c>
      <x:c r="N69" s="1"/>
      <x:c r="O69" s="1"/>
      <x:c r="P69" s="1"/>
      <x:c r="Q69" s="1"/>
    </x:row>
    <x:row r="70" ht="21" customHeight="1">
      <x:c r="A70" s="1"/>
      <x:c r="B70" s="1"/>
      <x:c r="C70" s="1" t="str">
        <x:v>Diagnostic counter writes per renewal (target: removed)</x:v>
      </x:c>
      <x:c r="D70" s="1"/>
      <x:c r="E70" s="23" t="n">
        <x:v>0</x:v>
      </x:c>
      <x:c r="F70" s="1"/>
      <x:c r="G70" s="1"/>
      <x:c r="H70" s="1"/>
      <x:c r="I70" s="1"/>
      <x:c r="J70" s="1"/>
      <x:c r="K70" s="1"/>
      <x:c r="L70" s="1"/>
      <x:c r="M70" s="1" t="str">
        <x:v>Approved backend change removes this non-authoritative diagnostic write; set one to estimate its cost if retained.</x:v>
      </x:c>
      <x:c r="N70" s="1"/>
      <x:c r="O70" s="1"/>
      <x:c r="P70" s="1"/>
      <x:c r="Q70" s="1"/>
    </x:row>
    <x:row r="71" ht="21" customHeight="1">
      <x:c r="A71" s="1"/>
      <x:c r="B71" s="1"/>
      <x:c r="C71" s="1" t="str">
        <x:v>SQLite reads per attempt renewal</x:v>
      </x:c>
      <x:c r="D71" s="1"/>
      <x:c r="E71" s="23" t="n">
        <x:v>2</x:v>
      </x:c>
      <x:c r="F71" s="1"/>
      <x:c r="G71" s="1"/>
      <x:c r="H71" s="1"/>
      <x:c r="I71" s="1"/>
      <x:c r="J71" s="1"/>
      <x:c r="K71" s="1"/>
      <x:c r="L71" s="1"/>
      <x:c r="M71" s="1" t="str">
        <x:v>Unmeasured planning input. Replace after representative workload metering.</x:v>
      </x:c>
      <x:c r="N71" s="1"/>
      <x:c r="O71" s="1"/>
      <x:c r="P71" s="1"/>
      <x:c r="Q71" s="1"/>
    </x:row>
    <x:row r="72" ht="21" customHeight="1">
      <x:c r="A72" s="1"/>
      <x:c r="B72" s="1"/>
      <x:c r="C72" s="1" t="str">
        <x:v>SQLite writes per idle presence refresh</x:v>
      </x:c>
      <x:c r="D72" s="1"/>
      <x:c r="E72" s="23" t="n">
        <x:v>1</x:v>
      </x:c>
      <x:c r="F72" s="1"/>
      <x:c r="G72" s="1"/>
      <x:c r="H72" s="1"/>
      <x:c r="I72" s="1"/>
      <x:c r="J72" s="1"/>
      <x:c r="K72" s="1"/>
      <x:c r="L72" s="1"/>
      <x:c r="M72" s="1" t="str">
        <x:v>Unmeasured planning input. Replace after representative workload metering.</x:v>
      </x:c>
      <x:c r="N72" s="1"/>
      <x:c r="O72" s="1"/>
      <x:c r="P72" s="1"/>
      <x:c r="Q72" s="1"/>
    </x:row>
    <x:row r="73" ht="21" customHeight="1">
      <x:c r="A73" s="1"/>
      <x:c r="B73" s="1"/>
      <x:c r="C73" s="1" t="str">
        <x:v>SQLite reads per idle presence refresh</x:v>
      </x:c>
      <x:c r="D73" s="1"/>
      <x:c r="E73" s="23" t="n">
        <x:v>1</x:v>
      </x:c>
      <x:c r="F73" s="1"/>
      <x:c r="G73" s="1"/>
      <x:c r="H73" s="1"/>
      <x:c r="I73" s="1"/>
      <x:c r="J73" s="1"/>
      <x:c r="K73" s="1"/>
      <x:c r="L73" s="1"/>
      <x:c r="M73" s="1" t="str">
        <x:v>Unmeasured planning input. Replace after representative workload metering.</x:v>
      </x:c>
      <x:c r="N73" s="1"/>
      <x:c r="O73" s="1"/>
      <x:c r="P73" s="1"/>
      <x:c r="Q73" s="1"/>
    </x:row>
    <x:row r="74" ht="21" customHeight="1">
      <x:c r="A74" s="1"/>
      <x:c r="B74" s="1"/>
      <x:c r="C74" s="1" t="str">
        <x:v>Completed attempts per active attempt-hour</x:v>
      </x:c>
      <x:c r="D74" s="1"/>
      <x:c r="E74" s="23" t="n">
        <x:v>1</x:v>
      </x:c>
      <x:c r="F74" s="1"/>
      <x:c r="G74" s="1"/>
      <x:c r="H74" s="1"/>
      <x:c r="I74" s="1"/>
      <x:c r="J74" s="1"/>
      <x:c r="K74" s="1"/>
      <x:c r="L74" s="1"/>
      <x:c r="M74" s="1" t="str">
        <x:v>Unmeasured planning input. Replace after representative workload metering.</x:v>
      </x:c>
      <x:c r="N74" s="1"/>
      <x:c r="O74" s="1"/>
      <x:c r="P74" s="1"/>
      <x:c r="Q74" s="1"/>
    </x:row>
    <x:row r="75" ht="21" customHeight="1">
      <x:c r="A75" s="1"/>
      <x:c r="B75" s="1"/>
      <x:c r="C75" s="1" t="str">
        <x:v>Compact terminal record bytes</x:v>
      </x:c>
      <x:c r="D75" s="1"/>
      <x:c r="E75" s="24" t="n">
        <x:v>2048</x:v>
      </x:c>
      <x:c r="F75" s="1"/>
      <x:c r="G75" s="1"/>
      <x:c r="H75" s="1"/>
      <x:c r="I75" s="1"/>
      <x:c r="J75" s="1"/>
      <x:c r="K75" s="1"/>
      <x:c r="L75" s="1"/>
      <x:c r="M75" s="1" t="str">
        <x:v>Account-lifetime deduplication record; result and archive references are included in this compact allowance.</x:v>
      </x:c>
      <x:c r="N75" s="1"/>
      <x:c r="O75" s="1"/>
      <x:c r="P75" s="1"/>
      <x:c r="Q75" s="1"/>
    </x:row>
    <x:row r="76" ht="21" customHeight="1">
      <x:c r="A76" s="1"/>
      <x:c r="B76" s="1"/>
      <x:c r="C76" s="1" t="str">
        <x:v>Opening terminal records per retained account</x:v>
      </x:c>
      <x:c r="D76" s="1"/>
      <x:c r="E76" s="23" t="n">
        <x:v>50</x:v>
      </x:c>
      <x:c r="F76" s="1"/>
      <x:c r="G76" s="1"/>
      <x:c r="H76" s="1"/>
      <x:c r="I76" s="1"/>
      <x:c r="J76" s="1"/>
      <x:c r="K76" s="1"/>
      <x:c r="L76" s="1"/>
      <x:c r="M76" s="1" t="str">
        <x:v>Explicit opening-stock assumption for pre-migration account history; terminal tombstones then accumulate.</x:v>
      </x:c>
      <x:c r="N76" s="1"/>
      <x:c r="O76" s="1"/>
      <x:c r="P76" s="1"/>
      <x:c r="Q76" s="1"/>
    </x:row>
    <x:row r="77" ht="21" customHeight="1">
      <x:c r="A77" s="1"/>
      <x:c r="B77" s="1"/>
      <x:c r="C77" s="1" t="str">
        <x:v>Terminal attempts with retained SQLite result reports</x:v>
      </x:c>
      <x:c r="D77" s="1"/>
      <x:c r="E77" s="21" t="n">
        <x:v>0.1</x:v>
      </x:c>
      <x:c r="F77" s="1"/>
      <x:c r="G77" s="1"/>
      <x:c r="H77" s="1"/>
      <x:c r="I77" s="1"/>
      <x:c r="J77" s="1"/>
      <x:c r="K77" s="1"/>
      <x:c r="L77" s="1"/>
      <x:c r="M77" s="1" t="str">
        <x:v>Assume 10% of terminal attempts have a public result report in the compact SQLite row.</x:v>
      </x:c>
      <x:c r="N77" s="1"/>
      <x:c r="O77" s="1"/>
      <x:c r="P77" s="1"/>
      <x:c r="Q77" s="1"/>
    </x:row>
    <x:row r="78" ht="21" customHeight="1">
      <x:c r="A78" s="1"/>
      <x:c r="B78" s="1"/>
      <x:c r="C78" s="1" t="str">
        <x:v>SQLite result report bytes at the modeled maximum</x:v>
      </x:c>
      <x:c r="D78" s="1"/>
      <x:c r="E78" s="24" t="n">
        <x:v>65536</x:v>
      </x:c>
      <x:c r="F78" s="1"/>
      <x:c r="G78" s="1"/>
      <x:c r="H78" s="1"/>
      <x:c r="I78" s="1"/>
      <x:c r="J78" s="1"/>
      <x:c r="K78" s="1"/>
      <x:c r="L78" s="1"/>
      <x:c r="M78" s="1" t="str">
        <x:v>Coordinator-safe attempt.report.result is capped at 64 KB; modeled at the cap when present.</x:v>
      </x:c>
      <x:c r="N78" s="1"/>
      <x:c r="O78" s="1"/>
      <x:c r="P78" s="1"/>
      <x:c r="Q78" s="1"/>
    </x:row>
    <x:row r="79" ht="21" customHeight="1">
      <x:c r="A79" s="1"/>
      <x:c r="B79" s="1"/>
      <x:c r="C79" s="1" t="str">
        <x:v>SQLite result report retention days</x:v>
      </x:c>
      <x:c r="D79" s="1"/>
      <x:c r="E79" s="23" t="n">
        <x:v>90</x:v>
      </x:c>
      <x:c r="F79" s="1"/>
      <x:c r="G79" s="1"/>
      <x:c r="H79" s="1"/>
      <x:c r="I79" s="1"/>
      <x:c r="J79" s="1"/>
      <x:c r="K79" s="1"/>
      <x:c r="L79" s="1"/>
      <x:c r="M79" s="1" t="str">
        <x:v>Result reports remain available in SQLite for the 90-day recovery window.</x:v>
      </x:c>
      <x:c r="N79" s="1"/>
      <x:c r="O79" s="1"/>
      <x:c r="P79" s="1"/>
      <x:c r="Q79" s="1"/>
    </x:row>
    <x:row r="80" ht="21" customHeight="1">
      <x:c r="A80" s="1"/>
      <x:c r="B80" s="1"/>
      <x:c r="C80" s="1" t="str">
        <x:v>Other coordinator SQLite reads per DAU-day</x:v>
      </x:c>
      <x:c r="D80" s="1"/>
      <x:c r="E80" s="23" t="n">
        <x:v>20</x:v>
      </x:c>
      <x:c r="F80" s="1"/>
      <x:c r="G80" s="1"/>
      <x:c r="H80" s="1"/>
      <x:c r="I80" s="1"/>
      <x:c r="J80" s="1"/>
      <x:c r="K80" s="1"/>
      <x:c r="L80" s="1"/>
      <x:c r="M80" s="1" t="str">
        <x:v>Unmeasured planning input. Replace after representative workload metering.</x:v>
      </x:c>
      <x:c r="N80" s="1"/>
      <x:c r="O80" s="1"/>
      <x:c r="P80" s="1"/>
      <x:c r="Q80" s="1"/>
    </x:row>
    <x:row r="81" ht="21" customHeight="1">
      <x:c r="A81" s="1"/>
      <x:c r="B81" s="1"/>
      <x:c r="C81" s="1" t="str">
        <x:v>Sync/coordinator SQLite writes per DAU-day</x:v>
      </x:c>
      <x:c r="D81" s="1"/>
      <x:c r="E81" s="23" t="n">
        <x:v>5</x:v>
      </x:c>
      <x:c r="F81" s="1"/>
      <x:c r="G81" s="1"/>
      <x:c r="H81" s="1"/>
      <x:c r="I81" s="1"/>
      <x:c r="J81" s="1"/>
      <x:c r="K81" s="1"/>
      <x:c r="L81" s="1"/>
      <x:c r="M81" s="1" t="str">
        <x:v>Unmeasured planning input. Replace after representative workload metering.</x:v>
      </x:c>
      <x:c r="N81" s="1"/>
      <x:c r="O81" s="1"/>
      <x:c r="P81" s="1"/>
      <x:c r="Q81" s="1"/>
    </x:row>
    <x:row r="82" ht="21" customHeight="1">
      <x:c r="A82" s="1"/>
      <x:c r="B82" s="1"/>
      <x:c r="C82" s="1" t="str">
        <x:v>Identity and Sync D1 reads per DAU-day</x:v>
      </x:c>
      <x:c r="D82" s="1"/>
      <x:c r="E82" s="23" t="n">
        <x:v>1000</x:v>
      </x:c>
      <x:c r="F82" s="1"/>
      <x:c r="G82" s="1"/>
      <x:c r="H82" s="1"/>
      <x:c r="I82" s="1"/>
      <x:c r="J82" s="1"/>
      <x:c r="K82" s="1"/>
      <x:c r="L82" s="1"/>
      <x:c r="M82" s="1" t="str">
        <x:v>Unmeasured planning input. Replace after representative workload metering.</x:v>
      </x:c>
      <x:c r="N82" s="1"/>
      <x:c r="O82" s="1"/>
      <x:c r="P82" s="1"/>
      <x:c r="Q82" s="1"/>
    </x:row>
    <x:row r="83" ht="21" customHeight="1">
      <x:c r="A83" s="1"/>
      <x:c r="B83" s="1"/>
      <x:c r="C83" s="1" t="str">
        <x:v>Identity and Sync D1 writes per DAU-day</x:v>
      </x:c>
      <x:c r="D83" s="1"/>
      <x:c r="E83" s="23" t="n">
        <x:v>100</x:v>
      </x:c>
      <x:c r="F83" s="1"/>
      <x:c r="G83" s="1"/>
      <x:c r="H83" s="1"/>
      <x:c r="I83" s="1"/>
      <x:c r="J83" s="1"/>
      <x:c r="K83" s="1"/>
      <x:c r="L83" s="1"/>
      <x:c r="M83" s="1" t="str">
        <x:v>Unmeasured planning input. Replace after representative workload metering.</x:v>
      </x:c>
      <x:c r="N83" s="1"/>
      <x:c r="O83" s="1"/>
      <x:c r="P83" s="1"/>
      <x:c r="Q83" s="1"/>
    </x:row>
    <x:row r="84" ht="21" customHeight="1">
      <x:c r="A84" s="1"/>
      <x:c r="B84" s="1"/>
      <x:c r="C84" s="1" t="str">
        <x:v>D1 read rows per trust refresh</x:v>
      </x:c>
      <x:c r="D84" s="1"/>
      <x:c r="E84" s="23" t="n">
        <x:v>1</x:v>
      </x:c>
      <x:c r="F84" s="1"/>
      <x:c r="G84" s="1"/>
      <x:c r="H84" s="1"/>
      <x:c r="I84" s="1"/>
      <x:c r="J84" s="1"/>
      <x:c r="K84" s="1"/>
      <x:c r="L84" s="1"/>
      <x:c r="M84" s="1" t="str">
        <x:v>Unmeasured planning input. Replace after representative workload metering.</x:v>
      </x:c>
      <x:c r="N84" s="1"/>
      <x:c r="O84" s="1"/>
      <x:c r="P84" s="1"/>
      <x:c r="Q84" s="1"/>
    </x:row>
    <x:row r="85" ht="21" customHeight="1">
      <x:c r="A85" s="1"/>
      <x:c r="B85" s="1"/>
      <x:c r="C85" s="1" t="str">
        <x:v>Coordinator SQLite bytes per retained account</x:v>
      </x:c>
      <x:c r="D85" s="1"/>
      <x:c r="E85" s="24" t="n">
        <x:v>1000000</x:v>
      </x:c>
      <x:c r="F85" s="1"/>
      <x:c r="G85" s="1"/>
      <x:c r="H85" s="1"/>
      <x:c r="I85" s="1"/>
      <x:c r="J85" s="1"/>
      <x:c r="K85" s="1"/>
      <x:c r="L85" s="1"/>
      <x:c r="M85" s="1" t="str">
        <x:v>Unmeasured planning input. Replace after representative workload metering.</x:v>
      </x:c>
      <x:c r="N85" s="1"/>
      <x:c r="O85" s="1"/>
      <x:c r="P85" s="1"/>
      <x:c r="Q85" s="1"/>
    </x:row>
    <x:row r="86" ht="21" customHeight="1">
      <x:c r="A86" s="1"/>
      <x:c r="B86" s="1"/>
      <x:c r="C86" s="1" t="str">
        <x:v>Encrypted Sync snapshot bytes per retained account</x:v>
      </x:c>
      <x:c r="D86" s="1"/>
      <x:c r="E86" s="24" t="n">
        <x:v>1000000</x:v>
      </x:c>
      <x:c r="F86" s="1"/>
      <x:c r="G86" s="1"/>
      <x:c r="H86" s="1"/>
      <x:c r="I86" s="1"/>
      <x:c r="J86" s="1"/>
      <x:c r="K86" s="1"/>
      <x:c r="L86" s="1"/>
      <x:c r="M86" s="1" t="str">
        <x:v>Unmeasured planning input. Replace after representative workload metering.</x:v>
      </x:c>
      <x:c r="N86" s="1"/>
      <x:c r="O86" s="1"/>
      <x:c r="P86" s="1"/>
      <x:c r="Q86" s="1"/>
    </x:row>
    <x:row r="87" ht="21" customHeight="1">
      <x:c r="A87" s="1"/>
      <x:c r="B87" s="1"/>
      <x:c r="C87" s="1" t="str">
        <x:v>D1 metadata bytes per retained account</x:v>
      </x:c>
      <x:c r="D87" s="1"/>
      <x:c r="E87" s="24" t="n">
        <x:v>100000</x:v>
      </x:c>
      <x:c r="F87" s="1"/>
      <x:c r="G87" s="1"/>
      <x:c r="H87" s="1"/>
      <x:c r="I87" s="1"/>
      <x:c r="J87" s="1"/>
      <x:c r="K87" s="1"/>
      <x:c r="L87" s="1"/>
      <x:c r="M87" s="1" t="str">
        <x:v>Unmeasured planning input. Replace after representative workload metering.</x:v>
      </x:c>
      <x:c r="N87" s="1"/>
      <x:c r="O87" s="1"/>
      <x:c r="P87" s="1"/>
      <x:c r="Q87" s="1"/>
    </x:row>
    <x:row r="88" ht="21" customHeight="1">
      <x:c r="A88" s="1"/>
      <x:c r="B88" s="1"/>
      <x:c r="C88" s="1" t="str">
        <x:v>Activity archive jobs per terminal attempt</x:v>
      </x:c>
      <x:c r="D88" s="1"/>
      <x:c r="E88" s="23" t="n">
        <x:v>1</x:v>
      </x:c>
      <x:c r="F88" s="1"/>
      <x:c r="G88" s="1"/>
      <x:c r="H88" s="1"/>
      <x:c r="I88" s="1"/>
      <x:c r="J88" s="1"/>
      <x:c r="K88" s="1"/>
      <x:c r="L88" s="1"/>
      <x:c r="M88" s="1" t="str">
        <x:v>Unmeasured mapping from terminal attempts to unique archived job activity streams.</x:v>
      </x:c>
      <x:c r="N88" s="1"/>
      <x:c r="O88" s="1"/>
      <x:c r="P88" s="1"/>
      <x:c r="Q88" s="1"/>
    </x:row>
    <x:row r="89" ht="21" customHeight="1">
      <x:c r="A89" s="1"/>
      <x:c r="B89" s="1"/>
      <x:c r="C89" s="1" t="str">
        <x:v>R2 archive segments per archived job</x:v>
      </x:c>
      <x:c r="D89" s="1"/>
      <x:c r="E89" s="23" t="n">
        <x:v>1</x:v>
      </x:c>
      <x:c r="F89" s="1"/>
      <x:c r="G89" s="1"/>
      <x:c r="H89" s="1"/>
      <x:c r="I89" s="1"/>
      <x:c r="J89" s="1"/>
      <x:c r="K89" s="1"/>
      <x:c r="L89" s="1"/>
      <x:c r="M89" s="1" t="str">
        <x:v>One segment per job is a simplifying operation estimate; actual segments depend on event count and payload size.</x:v>
      </x:c>
      <x:c r="N89" s="1"/>
      <x:c r="O89" s="1"/>
      <x:c r="P89" s="1"/>
      <x:c r="Q89" s="1"/>
    </x:row>
    <x:row r="90" ht="21" customHeight="1">
      <x:c r="A90" s="1"/>
      <x:c r="B90" s="1"/>
      <x:c r="C90" s="1" t="str">
        <x:v>Activity events per archive segment (max 128)</x:v>
      </x:c>
      <x:c r="D90" s="1"/>
      <x:c r="E90" s="23" t="n">
        <x:v>128</x:v>
      </x:c>
      <x:c r="F90" s="1"/>
      <x:c r="G90" s="1"/>
      <x:c r="H90" s="1"/>
      <x:c r="I90" s="1"/>
      <x:c r="J90" s="1"/>
      <x:c r="K90" s="1"/>
      <x:c r="L90" s="1"/>
      <x:c r="M90" s="1" t="str">
        <x:v>Model uses the 128-row segment maximum as a conservative read/write amplification estimate.</x:v>
      </x:c>
      <x:c r="N90" s="1"/>
      <x:c r="O90" s="1"/>
      <x:c r="P90" s="1"/>
      <x:c r="Q90" s="1"/>
    </x:row>
    <x:row r="91" ht="21" customHeight="1">
      <x:c r="A91" s="1"/>
      <x:c r="B91" s="1"/>
      <x:c r="C91" s="1" t="str">
        <x:v>Activity archive bytes per archived job</x:v>
      </x:c>
      <x:c r="D91" s="1"/>
      <x:c r="E91" s="24" t="n">
        <x:v>262144</x:v>
      </x:c>
      <x:c r="F91" s="1"/>
      <x:c r="G91" s="1"/>
      <x:c r="H91" s="1"/>
      <x:c r="I91" s="1"/>
      <x:c r="J91" s="1"/>
      <x:c r="K91" s="1"/>
      <x:c r="L91" s="1"/>
      <x:c r="M91" s="1" t="str">
        <x:v>Budget 256 KB per archived job against the 1 MiB/job activity cap; lifecycle metadata may add bytes.</x:v>
      </x:c>
      <x:c r="N91" s="1"/>
      <x:c r="O91" s="1"/>
      <x:c r="P91" s="1"/>
      <x:c r="Q91" s="1"/>
    </x:row>
    <x:row r="92" ht="21" customHeight="1">
      <x:c r="A92" s="1"/>
      <x:c r="B92" s="1"/>
      <x:c r="C92" s="1" t="str">
        <x:v>History archive retention days</x:v>
      </x:c>
      <x:c r="D92" s="1"/>
      <x:c r="E92" s="23" t="n">
        <x:v>90</x:v>
      </x:c>
      <x:c r="F92" s="1"/>
      <x:c r="G92" s="1"/>
      <x:c r="H92" s="1"/>
      <x:c r="I92" s="1"/>
      <x:c r="J92" s="1"/>
      <x:c r="K92" s="1"/>
      <x:c r="L92" s="1"/>
      <x:c r="M92" s="1" t="str">
        <x:v>Preserve the existing 90-day total detail-retention contract; do not add another 90 days after archival.</x:v>
      </x:c>
      <x:c r="N92" s="1"/>
      <x:c r="O92" s="1"/>
      <x:c r="P92" s="1"/>
      <x:c r="Q92" s="1"/>
    </x:row>
    <x:row r="93" ht="21" customHeight="1">
      <x:c r="A93" s="1"/>
      <x:c r="B93" s="1"/>
      <x:c r="C93" s="1" t="str">
        <x:v>Archive reads per job/month</x:v>
      </x:c>
      <x:c r="D93" s="1"/>
      <x:c r="E93" s="23" t="n">
        <x:v>0.1</x:v>
      </x:c>
      <x:c r="F93" s="1"/>
      <x:c r="G93" s="1"/>
      <x:c r="H93" s="1"/>
      <x:c r="I93" s="1"/>
      <x:c r="J93" s="1"/>
      <x:c r="K93" s="1"/>
      <x:c r="L93" s="1"/>
      <x:c r="M93" s="1" t="str">
        <x:v>Unmeasured planning input. Replace after representative workload metering.</x:v>
      </x:c>
      <x:c r="N93" s="1"/>
      <x:c r="O93" s="1"/>
      <x:c r="P93" s="1"/>
      <x:c r="Q93" s="1"/>
    </x:row>
    <x:row r="94" ht="21" customHeight="1">
      <x:c r="A94" s="1"/>
      <x:c r="B94" s="1"/>
      <x:c r="C94" s="1" t="str">
        <x:v>Terminal attempts with sealed result objects</x:v>
      </x:c>
      <x:c r="D94" s="1"/>
      <x:c r="E94" s="21" t="n">
        <x:v>0.1</x:v>
      </x:c>
      <x:c r="F94" s="1"/>
      <x:c r="G94" s="1"/>
      <x:c r="H94" s="1"/>
      <x:c r="I94" s="1"/>
      <x:c r="J94" s="1"/>
      <x:c r="K94" s="1"/>
      <x:c r="L94" s="1"/>
      <x:c r="M94" s="1" t="str">
        <x:v>Assume 10% of terminal attempts need a recoverable sealed result object.</x:v>
      </x:c>
      <x:c r="N94" s="1"/>
      <x:c r="O94" s="1"/>
      <x:c r="P94" s="1"/>
      <x:c r="Q94" s="1"/>
    </x:row>
    <x:row r="95" ht="21" customHeight="1">
      <x:c r="A95" s="1"/>
      <x:c r="B95" s="1"/>
      <x:c r="C95" s="1" t="str">
        <x:v>Sealed result payload bytes per object</x:v>
      </x:c>
      <x:c r="D95" s="1"/>
      <x:c r="E95" s="24" t="n">
        <x:v>65536</x:v>
      </x:c>
      <x:c r="F95" s="1"/>
      <x:c r="G95" s="1"/>
      <x:c r="H95" s="1"/>
      <x:c r="I95" s="1"/>
      <x:c r="J95" s="1"/>
      <x:c r="K95" s="1"/>
      <x:c r="L95" s="1"/>
      <x:c r="M95" s="1" t="str">
        <x:v>Sealed result is capped at 64 KB; modeled at the cap when present.</x:v>
      </x:c>
      <x:c r="N95" s="1"/>
      <x:c r="O95" s="1"/>
      <x:c r="P95" s="1"/>
      <x:c r="Q95" s="1"/>
    </x:row>
    <x:row r="96" ht="21" customHeight="1">
      <x:c r="A96" s="1"/>
      <x:c r="B96" s="1"/>
      <x:c r="C96" s="1" t="str">
        <x:v>Sealed result recovery retention days</x:v>
      </x:c>
      <x:c r="D96" s="1"/>
      <x:c r="E96" s="23" t="n">
        <x:v>90</x:v>
      </x:c>
      <x:c r="F96" s="1"/>
      <x:c r="G96" s="1"/>
      <x:c r="H96" s="1"/>
      <x:c r="I96" s="1"/>
      <x:c r="J96" s="1"/>
      <x:c r="K96" s="1"/>
      <x:c r="L96" s="1"/>
      <x:c r="M96" s="1" t="str">
        <x:v>R2 sealed-result object shares the attempt report 90-day recovery window.</x:v>
      </x:c>
      <x:c r="N96" s="1"/>
      <x:c r="O96" s="1"/>
      <x:c r="P96" s="1"/>
      <x:c r="Q96" s="1"/>
    </x:row>
    <x:row r="97" ht="21" customHeight="1">
      <x:c r="A97" s="1"/>
      <x:c r="B97" s="1"/>
      <x:c r="C97" s="1" t="str">
        <x:v>Sealed result reads per object/month</x:v>
      </x:c>
      <x:c r="D97" s="1"/>
      <x:c r="E97" s="21" t="n">
        <x:v>0.1</x:v>
      </x:c>
      <x:c r="F97" s="1"/>
      <x:c r="G97" s="1"/>
      <x:c r="H97" s="1"/>
      <x:c r="I97" s="1"/>
      <x:c r="J97" s="1"/>
      <x:c r="K97" s="1"/>
      <x:c r="L97" s="1"/>
      <x:c r="M97" s="1" t="str">
        <x:v>Unmeasured average reads over the object recovery window.</x:v>
      </x:c>
      <x:c r="N97" s="1"/>
      <x:c r="O97" s="1"/>
      <x:c r="P97" s="1"/>
      <x:c r="Q97" s="1"/>
    </x:row>
    <x:row r="98" ht="21" customHeight="1">
      <x:c r="A98" s="1"/>
      <x:c r="B98" s="1"/>
      <x:c r="C98" s="1" t="str">
        <x:v>Terminal jobs with sealed input envelopes</x:v>
      </x:c>
      <x:c r="D98" s="1"/>
      <x:c r="E98" s="21" t="n">
        <x:v>1</x:v>
      </x:c>
      <x:c r="F98" s="1"/>
      <x:c r="G98" s="1"/>
      <x:c r="H98" s="1"/>
      <x:c r="I98" s="1"/>
      <x:c r="J98" s="1"/>
      <x:c r="K98" s="1"/>
      <x:c r="L98" s="1"/>
      <x:c r="M98" s="1" t="str">
        <x:v>Conservative unmeasured estimate: every modeled terminal job has a sealed input envelope; replace with observed share.</x:v>
      </x:c>
      <x:c r="N98" s="1"/>
      <x:c r="O98" s="1"/>
      <x:c r="P98" s="1"/>
      <x:c r="Q98" s="1"/>
    </x:row>
    <x:row r="99" ht="21" customHeight="1">
      <x:c r="A99" s="1"/>
      <x:c r="B99" s="1"/>
      <x:c r="C99" s="1" t="str">
        <x:v>Average sealed-input archive bytes per object</x:v>
      </x:c>
      <x:c r="D99" s="1"/>
      <x:c r="E99" s="24" t="n">
        <x:v>131072</x:v>
      </x:c>
      <x:c r="F99" s="1"/>
      <x:c r="G99" s="1"/>
      <x:c r="H99" s="1"/>
      <x:c r="I99" s="1"/>
      <x:c r="J99" s="1"/>
      <x:c r="K99" s="1"/>
      <x:c r="L99" s="1"/>
      <x:c r="M99" s="1" t="str">
        <x:v>Unmeasured 128 KiB average against the 512 KiB accepted-envelope cap.</x:v>
      </x:c>
      <x:c r="N99" s="1"/>
      <x:c r="O99" s="1"/>
      <x:c r="P99" s="1"/>
      <x:c r="Q99" s="1"/>
    </x:row>
    <x:row r="100" ht="21" customHeight="1">
      <x:c r="A100" s="1"/>
      <x:c r="B100" s="1"/>
      <x:c r="C100" s="1" t="str">
        <x:v>Sealed-input archive retention days</x:v>
      </x:c>
      <x:c r="D100" s="1"/>
      <x:c r="E100" s="23" t="n">
        <x:v>90</x:v>
      </x:c>
      <x:c r="F100" s="1"/>
      <x:c r="G100" s="1"/>
      <x:c r="H100" s="1"/>
      <x:c r="I100" s="1"/>
      <x:c r="J100" s="1"/>
      <x:c r="K100" s="1"/>
      <x:c r="L100" s="1"/>
      <x:c r="M100" s="1" t="str">
        <x:v>Archived job inputs expire 90 days after terminal completion.</x:v>
      </x:c>
      <x:c r="N100" s="1"/>
      <x:c r="O100" s="1"/>
      <x:c r="P100" s="1"/>
      <x:c r="Q100" s="1"/>
    </x:row>
    <x:row r="101" ht="21" customHeight="1">
      <x:c r="A101" s="1"/>
      <x:c r="B101" s="1"/>
      <x:c r="C101" s="1" t="str">
        <x:v>job.get archive hydrations per input object/retention</x:v>
      </x:c>
      <x:c r="D101" s="1"/>
      <x:c r="E101" s="23" t="n">
        <x:v>1</x:v>
      </x:c>
      <x:c r="F101" s="1"/>
      <x:c r="G101" s="1"/>
      <x:c r="H101" s="1"/>
      <x:c r="I101" s="1"/>
      <x:c r="J101" s="1"/>
      <x:c r="K101" s="1"/>
      <x:c r="L101" s="1"/>
      <x:c r="M101" s="1" t="str">
        <x:v>One archived-input hydration per job.get over the retention window; actual job.get counts are unmeasured.</x:v>
      </x:c>
      <x:c r="N101" s="1"/>
      <x:c r="O101" s="1"/>
      <x:c r="P101" s="1"/>
      <x:c r="Q101" s="1"/>
    </x:row>
    <x:row r="102" ht="21" customHeight="1">
      <x:c r="A102" s="1"/>
      <x:c r="B102" s="1"/>
      <x:c r="C102" s="1" t="str">
        <x:v>SQLite row writes per sealed-input compaction</x:v>
      </x:c>
      <x:c r="D102" s="1"/>
      <x:c r="E102" s="23" t="n">
        <x:v>1</x:v>
      </x:c>
      <x:c r="F102" s="1"/>
      <x:c r="G102" s="1"/>
      <x:c r="H102" s="1"/>
      <x:c r="I102" s="1"/>
      <x:c r="J102" s="1"/>
      <x:c r="K102" s="1"/>
      <x:c r="L102" s="1"/>
      <x:c r="M102" s="1" t="str">
        <x:v>One job row is updated after verified R2 upload and a source-row compare-and-set.</x:v>
      </x:c>
      <x:c r="N102" s="1"/>
      <x:c r="O102" s="1"/>
      <x:c r="P102" s="1"/>
      <x:c r="Q102" s="1"/>
    </x:row>
    <x:row r="103" ht="21" customHeight="1">
      <x:c r="A103" s="1"/>
      <x:c r="B103" s="1"/>
      <x:c r="C103" s="1" t="str">
        <x:v>SQLite row writes per sealed-input expiry</x:v>
      </x:c>
      <x:c r="D103" s="1"/>
      <x:c r="E103" s="23" t="n">
        <x:v>1</x:v>
      </x:c>
      <x:c r="F103" s="1"/>
      <x:c r="G103" s="1"/>
      <x:c r="H103" s="1"/>
      <x:c r="I103" s="1"/>
      <x:c r="J103" s="1"/>
      <x:c r="K103" s="1"/>
      <x:c r="L103" s="1"/>
      <x:c r="M103" s="1" t="str">
        <x:v>One job row is updated after object deletion at expiry; expiry-flow estimate uses a mature 90-day cohort.</x:v>
      </x:c>
      <x:c r="N103" s="1"/>
      <x:c r="O103" s="1"/>
      <x:c r="P103" s="1"/>
      <x:c r="Q103" s="1"/>
    </x:row>
    <x:row r="104" ht="21" customHeight="1">
      <x:c r="A104" s="1"/>
      <x:c r="B104" s="1"/>
      <x:c r="C104" s="1" t="str">
        <x:v>Terminal attempts with required result artifacts</x:v>
      </x:c>
      <x:c r="D104" s="1"/>
      <x:c r="E104" s="21" t="n">
        <x:v>0.1</x:v>
      </x:c>
      <x:c r="F104" s="1"/>
      <x:c r="G104" s="1"/>
      <x:c r="H104" s="1"/>
      <x:c r="I104" s="1"/>
      <x:c r="J104" s="1"/>
      <x:c r="K104" s="1"/>
      <x:c r="L104" s="1"/>
      <x:c r="M104" s="1" t="str">
        <x:v>Unmeasured planning input. Replace after representative workload metering.</x:v>
      </x:c>
      <x:c r="N104" s="1"/>
      <x:c r="O104" s="1"/>
      <x:c r="P104" s="1"/>
      <x:c r="Q104" s="1"/>
    </x:row>
    <x:row r="105" ht="21" customHeight="1">
      <x:c r="A105" s="1"/>
      <x:c r="B105" s="1"/>
      <x:c r="C105" s="1" t="str">
        <x:v>Average required result artifact bytes</x:v>
      </x:c>
      <x:c r="D105" s="1"/>
      <x:c r="E105" s="24" t="n">
        <x:v>262144</x:v>
      </x:c>
      <x:c r="F105" s="1"/>
      <x:c r="G105" s="1"/>
      <x:c r="H105" s="1"/>
      <x:c r="I105" s="1"/>
      <x:c r="J105" s="1"/>
      <x:c r="K105" s="1"/>
      <x:c r="L105" s="1"/>
      <x:c r="M105" s="1" t="str">
        <x:v>Unmeasured average task-artifact object size; each is capped at 64 MiB.</x:v>
      </x:c>
      <x:c r="N105" s="1"/>
      <x:c r="O105" s="1"/>
      <x:c r="P105" s="1"/>
      <x:c r="Q105" s="1"/>
    </x:row>
    <x:row r="106" ht="21" customHeight="1">
      <x:c r="A106" s="1"/>
      <x:c r="B106" s="1"/>
      <x:c r="C106" s="1" t="str">
        <x:v>Required result artifact retention days</x:v>
      </x:c>
      <x:c r="D106" s="1"/>
      <x:c r="E106" s="23" t="n">
        <x:v>7</x:v>
      </x:c>
      <x:c r="F106" s="1"/>
      <x:c r="G106" s="1"/>
      <x:c r="H106" s="1"/>
      <x:c r="I106" s="1"/>
      <x:c r="J106" s="1"/>
      <x:c r="K106" s="1"/>
      <x:c r="L106" s="1"/>
      <x:c r="M106" s="1" t="str">
        <x:v>Unmeasured planning input. Replace after representative workload metering.</x:v>
      </x:c>
      <x:c r="N106" s="1"/>
      <x:c r="O106" s="1"/>
      <x:c r="P106" s="1"/>
      <x:c r="Q106" s="1"/>
    </x:row>
    <x:row r="107" ht="21" customHeight="1">
      <x:c r="A107" s="1"/>
      <x:c r="B107" s="1"/>
      <x:c r="C107" s="1" t="str">
        <x:v>Result artifact reads per object</x:v>
      </x:c>
      <x:c r="D107" s="1"/>
      <x:c r="E107" s="21" t="n">
        <x:v>0.5</x:v>
      </x:c>
      <x:c r="F107" s="1"/>
      <x:c r="G107" s="1"/>
      <x:c r="H107" s="1"/>
      <x:c r="I107" s="1"/>
      <x:c r="J107" s="1"/>
      <x:c r="K107" s="1"/>
      <x:c r="L107" s="1"/>
      <x:c r="M107" s="1" t="str">
        <x:v>Unmeasured planning input. Replace after representative workload metering.</x:v>
      </x:c>
      <x:c r="N107" s="1"/>
      <x:c r="O107" s="1"/>
      <x:c r="P107" s="1"/>
      <x:c r="Q107" s="1"/>
    </x:row>
    <x:row r="108" ht="21" customHeight="1">
      <x:c r="A108" s="1"/>
      <x:c r="B108" s="1"/>
      <x:c r="C108" s="1" t="str">
        <x:v>Terminal attempts requiring a handoff checkpoint</x:v>
      </x:c>
      <x:c r="D108" s="1"/>
      <x:c r="E108" s="21" t="n">
        <x:v>0.01</x:v>
      </x:c>
      <x:c r="F108" s="1"/>
      <x:c r="G108" s="1"/>
      <x:c r="H108" s="1"/>
      <x:c r="I108" s="1"/>
      <x:c r="J108" s="1"/>
      <x:c r="K108" s="1"/>
      <x:c r="L108" s="1"/>
      <x:c r="M108" s="1" t="str">
        <x:v>Unmeasured planning input. Replace after representative workload metering.</x:v>
      </x:c>
      <x:c r="N108" s="1"/>
      <x:c r="O108" s="1"/>
      <x:c r="P108" s="1"/>
      <x:c r="Q108" s="1"/>
    </x:row>
    <x:row r="109" ht="21" customHeight="1">
      <x:c r="A109" s="1"/>
      <x:c r="B109" s="1"/>
      <x:c r="C109" s="1" t="str">
        <x:v>Average handoff checkpoint bytes</x:v>
      </x:c>
      <x:c r="D109" s="1"/>
      <x:c r="E109" s="24" t="n">
        <x:v>4194304</x:v>
      </x:c>
      <x:c r="F109" s="1"/>
      <x:c r="G109" s="1"/>
      <x:c r="H109" s="1"/>
      <x:c r="I109" s="1"/>
      <x:c r="J109" s="1"/>
      <x:c r="K109" s="1"/>
      <x:c r="L109" s="1"/>
      <x:c r="M109" s="1" t="str">
        <x:v>Unmeasured planning input. Replace after representative workload metering.</x:v>
      </x:c>
      <x:c r="N109" s="1"/>
      <x:c r="O109" s="1"/>
      <x:c r="P109" s="1"/>
      <x:c r="Q109" s="1"/>
    </x:row>
    <x:row r="110" ht="21" customHeight="1">
      <x:c r="A110" s="1"/>
      <x:c r="B110" s="1"/>
      <x:c r="C110" s="1" t="str">
        <x:v>Handoff checkpoint retention days</x:v>
      </x:c>
      <x:c r="D110" s="1"/>
      <x:c r="E110" s="23" t="n">
        <x:v>30</x:v>
      </x:c>
      <x:c r="F110" s="1"/>
      <x:c r="G110" s="1"/>
      <x:c r="H110" s="1"/>
      <x:c r="I110" s="1"/>
      <x:c r="J110" s="1"/>
      <x:c r="K110" s="1"/>
      <x:c r="L110" s="1"/>
      <x:c r="M110" s="1" t="str">
        <x:v>Unmeasured planning input. Replace after representative workload metering.</x:v>
      </x:c>
      <x:c r="N110" s="1"/>
      <x:c r="O110" s="1"/>
      <x:c r="P110" s="1"/>
      <x:c r="Q110" s="1"/>
    </x:row>
    <x:row r="111" ht="21" customHeight="1">
      <x:c r="A111" s="1"/>
      <x:c r="B111" s="1"/>
      <x:c r="C111" s="1" t="str">
        <x:v>Checkpoint reads per object</x:v>
      </x:c>
      <x:c r="D111" s="1"/>
      <x:c r="E111" s="21" t="n">
        <x:v>0.1</x:v>
      </x:c>
      <x:c r="F111" s="1"/>
      <x:c r="G111" s="1"/>
      <x:c r="H111" s="1"/>
      <x:c r="I111" s="1"/>
      <x:c r="J111" s="1"/>
      <x:c r="K111" s="1"/>
      <x:c r="L111" s="1"/>
      <x:c r="M111" s="1" t="str">
        <x:v>Unmeasured planning input. Replace after representative workload metering.</x:v>
      </x:c>
      <x:c r="N111" s="1"/>
      <x:c r="O111" s="1"/>
      <x:c r="P111" s="1"/>
      <x:c r="Q111" s="1"/>
    </x:row>
    <x:row r="112" ht="21" customHeight="1">
      <x:c r="A112" s="1"/>
      <x:c r="B112" s="1"/>
      <x:c r="C112" s="1" t="str">
        <x:v>Sync/R2 class A writes per DAU-day</x:v>
      </x:c>
      <x:c r="D112" s="1"/>
      <x:c r="E112" s="23" t="n">
        <x:v>10</x:v>
      </x:c>
      <x:c r="F112" s="1"/>
      <x:c r="G112" s="1"/>
      <x:c r="H112" s="1"/>
      <x:c r="I112" s="1"/>
      <x:c r="J112" s="1"/>
      <x:c r="K112" s="1"/>
      <x:c r="L112" s="1"/>
      <x:c r="M112" s="1" t="str">
        <x:v>Unmeasured planning input. Replace after representative workload metering.</x:v>
      </x:c>
      <x:c r="N112" s="1"/>
      <x:c r="O112" s="1"/>
      <x:c r="P112" s="1"/>
      <x:c r="Q112" s="1"/>
    </x:row>
    <x:row r="113" ht="21" customHeight="1">
      <x:c r="A113" s="1"/>
      <x:c r="B113" s="1"/>
      <x:c r="C113" s="1" t="str">
        <x:v>Sync/R2 class B reads per DAU-day</x:v>
      </x:c>
      <x:c r="D113" s="1"/>
      <x:c r="E113" s="23" t="n">
        <x:v>30</x:v>
      </x:c>
      <x:c r="F113" s="1"/>
      <x:c r="G113" s="1"/>
      <x:c r="H113" s="1"/>
      <x:c r="I113" s="1"/>
      <x:c r="J113" s="1"/>
      <x:c r="K113" s="1"/>
      <x:c r="L113" s="1"/>
      <x:c r="M113" s="1" t="str">
        <x:v>Unmeasured planning input. Replace after representative workload metering.</x:v>
      </x:c>
      <x:c r="N113" s="1"/>
      <x:c r="O113" s="1"/>
      <x:c r="P113" s="1"/>
      <x:c r="Q113" s="1"/>
    </x:row>
    <x:row r="114" ht="21" customHeight="1">
      <x:c r="A114" s="1"/>
      <x:c r="B114" s="1"/>
      <x:c r="C114" s="1" t="str">
        <x:v>Retry traffic overhead</x:v>
      </x:c>
      <x:c r="D114" s="1"/>
      <x:c r="E114" s="21" t="n">
        <x:v>0.05</x:v>
      </x:c>
      <x:c r="F114" s="1"/>
      <x:c r="G114" s="1"/>
      <x:c r="H114" s="1"/>
      <x:c r="I114" s="1"/>
      <x:c r="J114" s="1"/>
      <x:c r="K114" s="1"/>
      <x:c r="L114" s="1"/>
      <x:c r="M114" s="1" t="str">
        <x:v>Unmeasured planning input. Replace after representative workload metering.</x:v>
      </x:c>
      <x:c r="N114" s="1"/>
      <x:c r="O114" s="1"/>
      <x:c r="P114" s="1"/>
      <x:c r="Q114" s="1"/>
    </x:row>
    <x:row r="115" ht="21" customHeight="1">
      <x:c r="A115" s="1"/>
      <x:c r="B115" s="1"/>
      <x:c r="C115" s="1" t="str">
        <x:v>Connected time using HTTP fallback</x:v>
      </x:c>
      <x:c r="D115" s="1"/>
      <x:c r="E115" s="21" t="n">
        <x:v>0.01</x:v>
      </x:c>
      <x:c r="F115" s="1"/>
      <x:c r="G115" s="1"/>
      <x:c r="H115" s="1"/>
      <x:c r="I115" s="1"/>
      <x:c r="J115" s="1"/>
      <x:c r="K115" s="1"/>
      <x:c r="L115" s="1"/>
      <x:c r="M115" s="1" t="str">
        <x:v>Fraction of connected device-hours handled by the 5-second HTTP fallback.</x:v>
      </x:c>
      <x:c r="N115" s="1"/>
      <x:c r="O115" s="1"/>
      <x:c r="P115" s="1"/>
      <x:c r="Q115" s="1"/>
    </x:row>
    <x:row r="116" ht="21" customHeight="1">
      <x:c r="A116" s="1"/>
      <x:c r="B116" s="1"/>
      <x:c r="C116" s="1" t="str">
        <x:v>HTTP fallback calls per affected device-hour</x:v>
      </x:c>
      <x:c r="D116" s="1"/>
      <x:c r="E116" s="23" t="n">
        <x:v>720</x:v>
      </x:c>
      <x:c r="F116" s="1"/>
      <x:c r="G116" s="1"/>
      <x:c r="H116" s="1"/>
      <x:c r="I116" s="1"/>
      <x:c r="J116" s="1"/>
      <x:c r="K116" s="1"/>
      <x:c r="L116" s="1"/>
      <x:c r="M116" s="1" t="str">
        <x:v>Unmeasured planning input. Replace after representative workload metering.</x:v>
      </x:c>
      <x:c r="N116" s="1"/>
      <x:c r="O116" s="1"/>
      <x:c r="P116" s="1"/>
      <x:c r="Q116" s="1"/>
    </x:row>
    <x:row r="117" ht="21" customHeight="1">
      <x:c r="A117" s="1"/>
      <x:c r="B117" s="1"/>
      <x:c r="C117" s="1" t="str">
        <x:v>Backend-object calls per fallback HTTP call</x:v>
      </x:c>
      <x:c r="D117" s="1"/>
      <x:c r="E117" s="23" t="n">
        <x:v>2</x:v>
      </x:c>
      <x:c r="F117" s="1"/>
      <x:c r="G117" s="1"/>
      <x:c r="H117" s="1"/>
      <x:c r="I117" s="1"/>
      <x:c r="J117" s="1"/>
      <x:c r="K117" s="1"/>
      <x:c r="L117" s="1"/>
      <x:c r="M117" s="1" t="str">
        <x:v>Unmeasured planning input. Replace after representative workload metering.</x:v>
      </x:c>
      <x:c r="N117" s="1"/>
      <x:c r="O117" s="1"/>
      <x:c r="P117" s="1"/>
      <x:c r="Q117" s="1"/>
    </x:row>
    <x:row r="118" ht="21" customHeight="1">
      <x:c r="A118" s="1"/>
      <x:c r="B118" s="1"/>
      <x:c r="C118" s="1" t="str">
        <x:v>Legacy traffic share during migration</x:v>
      </x:c>
      <x:c r="D118" s="1"/>
      <x:c r="E118" s="21" t="n">
        <x:v>0</x:v>
      </x:c>
      <x:c r="F118" s="1"/>
      <x:c r="G118" s="1"/>
      <x:c r="H118" s="1"/>
      <x:c r="I118" s="1"/>
      <x:c r="J118" s="1"/>
      <x:c r="K118" s="1"/>
      <x:c r="L118" s="1"/>
      <x:c r="M118" s="1" t="str">
        <x:v>Greenfield default is zero; raise only for an optional temporary dual-path measurement. No released-client migration is assumed.</x:v>
      </x:c>
      <x:c r="N118" s="1"/>
      <x:c r="O118" s="1"/>
      <x:c r="P118" s="1"/>
      <x:c r="Q118" s="1"/>
    </x:row>
    <x:row r="119" ht="21" customHeight="1">
      <x:c r="A119" s="1"/>
      <x:c r="B119" s="1"/>
      <x:c r="C119" s="1" t="str">
        <x:v>Previous Sync data kept per retained account during overlap</x:v>
      </x:c>
      <x:c r="D119" s="1"/>
      <x:c r="E119" s="24" t="n">
        <x:v>0</x:v>
      </x:c>
      <x:c r="F119" s="1"/>
      <x:c r="G119" s="1"/>
      <x:c r="H119" s="1"/>
      <x:c r="I119" s="1"/>
      <x:c r="J119" s="1"/>
      <x:c r="K119" s="1"/>
      <x:c r="L119" s="1"/>
      <x:c r="M119" s="1" t="str">
        <x:v>Unmeasured planning input. Replace after representative workload metering.</x:v>
      </x:c>
      <x:c r="N119" s="1"/>
      <x:c r="O119" s="1"/>
      <x:c r="P119" s="1"/>
      <x:c r="Q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24" customHeight="1">
      <x:c r="A121" s="1"/>
      <x:c r="B121" s="1"/>
      <x:c r="C121" s="17" t="str">
        <x:v>Service and operating assumptions</x:v>
      </x:c>
      <x:c r="D121" s="17"/>
      <x:c r="E121" s="17"/>
      <x:c r="F121" s="17"/>
      <x:c r="G121" s="17"/>
      <x:c r="H121" s="17"/>
      <x:c r="I121" s="17"/>
      <x:c r="J121" s="17"/>
      <x:c r="K121" s="17"/>
      <x:c r="L121" s="1"/>
      <x:c r="M121" s="1"/>
      <x:c r="N121" s="1"/>
      <x:c r="O121" s="1"/>
      <x:c r="P121" s="1"/>
      <x:c r="Q121" s="1"/>
    </x:row>
    <x:row r="122" ht="21" customHeight="1">
      <x:c r="A122" s="1"/>
      <x:c r="B122" s="1"/>
      <x:c r="C122" s="1" t="str">
        <x:v>Cloudflare opening credit USD</x:v>
      </x:c>
      <x:c r="D122" s="1"/>
      <x:c r="E122" s="25" t="n">
        <x:v>10000</x:v>
      </x:c>
      <x:c r="F122" s="1"/>
      <x:c r="G122" s="1"/>
      <x:c r="H122" s="1"/>
      <x:c r="I122" s="1"/>
      <x:c r="J122" s="1"/>
      <x:c r="K122" s="1"/>
      <x:c r="L122" s="1"/>
      <x:c r="M122" s="1" t="str">
        <x:v>Planning assumption; replace with measured usage or actual invoice.</x:v>
      </x:c>
      <x:c r="N122" s="1"/>
      <x:c r="O122" s="1"/>
      <x:c r="P122" s="1"/>
      <x:c r="Q122" s="1"/>
    </x:row>
    <x:row r="123" ht="21" customHeight="1">
      <x:c r="A123" s="1"/>
      <x:c r="B123" s="1"/>
      <x:c r="C123" s="1" t="str">
        <x:v>Credit expiry (assumed start of UTC day)</x:v>
      </x:c>
      <x:c r="D123" s="1"/>
      <x:c r="E123" s="26" t="n">
        <x:v>46648</x:v>
      </x:c>
      <x:c r="F123" s="1"/>
      <x:c r="G123" s="1"/>
      <x:c r="H123" s="1"/>
      <x:c r="I123" s="1"/>
      <x:c r="J123" s="1"/>
      <x:c r="K123" s="1"/>
      <x:c r="L123" s="1"/>
      <x:c r="M123" s="1" t="str">
        <x:v>Planning assumption; replace with measured usage or actual invoice.</x:v>
      </x:c>
      <x:c r="N123" s="1"/>
      <x:c r="O123" s="1"/>
      <x:c r="P123" s="1"/>
      <x:c r="Q123" s="1"/>
    </x:row>
    <x:row r="124" ht="21" customHeight="1">
      <x:c r="A124" s="1"/>
      <x:c r="B124" s="1"/>
      <x:c r="C124" s="1" t="str">
        <x:v>Other Cloudflare USD/month</x:v>
      </x:c>
      <x:c r="D124" s="1"/>
      <x:c r="E124" s="25" t="n">
        <x:v>0</x:v>
      </x:c>
      <x:c r="F124" s="1"/>
      <x:c r="G124" s="1"/>
      <x:c r="H124" s="1"/>
      <x:c r="I124" s="1"/>
      <x:c r="J124" s="1"/>
      <x:c r="K124" s="1"/>
      <x:c r="L124" s="1"/>
      <x:c r="M124" s="1" t="str">
        <x:v>Planning assumption; replace with measured usage or actual invoice.</x:v>
      </x:c>
      <x:c r="N124" s="1"/>
      <x:c r="O124" s="1"/>
      <x:c r="P124" s="1"/>
      <x:c r="Q124" s="1"/>
    </x:row>
    <x:row r="125" ht="21" customHeight="1">
      <x:c r="A125" s="1"/>
      <x:c r="B125" s="1"/>
      <x:c r="C125" s="1" t="str">
        <x:v>DAU divided by MAU</x:v>
      </x:c>
      <x:c r="D125" s="1"/>
      <x:c r="E125" s="21" t="n">
        <x:v>0.25</x:v>
      </x:c>
      <x:c r="F125" s="1"/>
      <x:c r="G125" s="1"/>
      <x:c r="H125" s="1"/>
      <x:c r="I125" s="1"/>
      <x:c r="J125" s="1"/>
      <x:c r="K125" s="1"/>
      <x:c r="L125" s="1"/>
      <x:c r="M125" s="1" t="str">
        <x:v>Planning assumption; replace with measured usage or actual invoice.</x:v>
      </x:c>
      <x:c r="N125" s="1"/>
      <x:c r="O125" s="1"/>
      <x:c r="P125" s="1"/>
      <x:c r="Q125" s="1"/>
    </x:row>
    <x:row r="126" ht="21" customHeight="1">
      <x:c r="A126" s="1"/>
      <x:c r="B126" s="1"/>
      <x:c r="C126" s="1" t="str">
        <x:v>GBP per USD (planning FX)</x:v>
      </x:c>
      <x:c r="D126" s="1"/>
      <x:c r="E126" s="25" t="n">
        <x:v>0.75</x:v>
      </x:c>
      <x:c r="F126" s="1"/>
      <x:c r="G126" s="1"/>
      <x:c r="H126" s="1"/>
      <x:c r="I126" s="1"/>
      <x:c r="J126" s="1"/>
      <x:c r="K126" s="1"/>
      <x:c r="L126" s="1"/>
      <x:c r="M126" s="1" t="str">
        <x:v>Planning assumption; replace with measured usage or actual invoice.</x:v>
      </x:c>
      <x:c r="N126" s="1"/>
      <x:c r="O126" s="1"/>
      <x:c r="P126" s="1"/>
      <x:c r="Q126" s="1"/>
    </x:row>
    <x:row r="127" ht="21" customHeight="1">
      <x:c r="A127" s="1"/>
      <x:c r="B127" s="1"/>
      <x:c r="C127" s="1" t="str">
        <x:v>Retained accounts per monthly active user</x:v>
      </x:c>
      <x:c r="D127" s="1"/>
      <x:c r="E127" s="25" t="n">
        <x:v>5</x:v>
      </x:c>
      <x:c r="F127" s="1"/>
      <x:c r="G127" s="1"/>
      <x:c r="H127" s="1"/>
      <x:c r="I127" s="1"/>
      <x:c r="J127" s="1"/>
      <x:c r="K127" s="1"/>
      <x:c r="L127" s="1"/>
      <x:c r="M127" s="1" t="str">
        <x:v>Planning assumption; replace with measured usage or actual invoice.</x:v>
      </x:c>
      <x:c r="N127" s="1"/>
      <x:c r="O127" s="1"/>
      <x:c r="P127" s="1"/>
      <x:c r="Q127" s="1"/>
    </x:row>
    <x:row r="128" ht="21" customHeight="1">
      <x:c r="A128" s="1"/>
      <x:c r="B128" s="1"/>
      <x:c r="C128" s="1" t="str">
        <x:v>SQLite GB per retained account</x:v>
      </x:c>
      <x:c r="D128" s="1"/>
      <x:c r="E128" s="25" t="n">
        <x:v>0.021</x:v>
      </x:c>
      <x:c r="F128" s="1"/>
      <x:c r="G128" s="1"/>
      <x:c r="H128" s="1"/>
      <x:c r="I128" s="1"/>
      <x:c r="J128" s="1"/>
      <x:c r="K128" s="1"/>
      <x:c r="L128" s="1"/>
      <x:c r="M128" s="1" t="str">
        <x:v>21 MB: 20 MB account state + 1 MB shared-session allocation. Hosted bytes are not automatically capped.</x:v>
      </x:c>
      <x:c r="N128" s="1"/>
      <x:c r="O128" s="1"/>
      <x:c r="P128" s="1"/>
      <x:c r="Q128" s="1"/>
    </x:row>
    <x:row r="129" ht="21" customHeight="1">
      <x:c r="A129" s="1"/>
      <x:c r="B129" s="1"/>
      <x:c r="C129" s="1" t="str">
        <x:v>R2 GB per retained account</x:v>
      </x:c>
      <x:c r="D129" s="1"/>
      <x:c r="E129" s="25" t="n">
        <x:v>0.1</x:v>
      </x:c>
      <x:c r="F129" s="1"/>
      <x:c r="G129" s="1"/>
      <x:c r="H129" s="1"/>
      <x:c r="I129" s="1"/>
      <x:c r="J129" s="1"/>
      <x:c r="K129" s="1"/>
      <x:c r="L129" s="1"/>
      <x:c r="M129" s="1" t="str">
        <x:v>Planning assumption; replace with measured usage or actual invoice.</x:v>
      </x:c>
      <x:c r="N129" s="1"/>
      <x:c r="O129" s="1"/>
      <x:c r="P129" s="1"/>
      <x:c r="Q129" s="1"/>
    </x:row>
    <x:row r="130" ht="21" customHeight="1">
      <x:c r="A130" s="1"/>
      <x:c r="B130" s="1"/>
      <x:c r="C130" s="1" t="str">
        <x:v>D1 GB per retained account</x:v>
      </x:c>
      <x:c r="D130" s="1"/>
      <x:c r="E130" s="25" t="n">
        <x:v>0.002</x:v>
      </x:c>
      <x:c r="F130" s="1"/>
      <x:c r="G130" s="1"/>
      <x:c r="H130" s="1"/>
      <x:c r="I130" s="1"/>
      <x:c r="J130" s="1"/>
      <x:c r="K130" s="1"/>
      <x:c r="L130" s="1"/>
      <x:c r="M130" s="1" t="str">
        <x:v>Planning assumption; replace with measured usage or actual invoice.</x:v>
      </x:c>
      <x:c r="N130" s="1"/>
      <x:c r="O130" s="1"/>
      <x:c r="P130" s="1"/>
      <x:c r="Q130" s="1"/>
    </x:row>
    <x:row r="131" ht="21" customHeight="1">
      <x:c r="A131" s="1"/>
      <x:c r="B131" s="1"/>
      <x:c r="C131" s="1" t="str">
        <x:v>R2 class A operations per heavy account</x:v>
      </x:c>
      <x:c r="D131" s="1"/>
      <x:c r="E131" s="25" t="n">
        <x:v>600</x:v>
      </x:c>
      <x:c r="F131" s="1"/>
      <x:c r="G131" s="1"/>
      <x:c r="H131" s="1"/>
      <x:c r="I131" s="1"/>
      <x:c r="J131" s="1"/>
      <x:c r="K131" s="1"/>
      <x:c r="L131" s="1"/>
      <x:c r="M131" s="1" t="str">
        <x:v>Planning assumption; replace with measured usage or actual invoice.</x:v>
      </x:c>
      <x:c r="N131" s="1"/>
      <x:c r="O131" s="1"/>
      <x:c r="P131" s="1"/>
      <x:c r="Q131" s="1"/>
    </x:row>
    <x:row r="132" ht="21" customHeight="1">
      <x:c r="A132" s="1"/>
      <x:c r="B132" s="1"/>
      <x:c r="C132" s="1" t="str">
        <x:v>R2 class B operations per heavy account</x:v>
      </x:c>
      <x:c r="D132" s="1"/>
      <x:c r="E132" s="25" t="n">
        <x:v>3000</x:v>
      </x:c>
      <x:c r="F132" s="1"/>
      <x:c r="G132" s="1"/>
      <x:c r="H132" s="1"/>
      <x:c r="I132" s="1"/>
      <x:c r="J132" s="1"/>
      <x:c r="K132" s="1"/>
      <x:c r="L132" s="1"/>
      <x:c r="M132" s="1" t="str">
        <x:v>Planning assumption; replace with measured usage or actual invoice.</x:v>
      </x:c>
      <x:c r="N132" s="1"/>
      <x:c r="O132" s="1"/>
      <x:c r="P132" s="1"/>
      <x:c r="Q132" s="1"/>
    </x:row>
    <x:row r="133" ht="21" customHeight="1">
      <x:c r="A133" s="1"/>
      <x:c r="B133" s="1"/>
      <x:c r="C133" s="1" t="str">
        <x:v>D1 read rows per monthly active user</x:v>
      </x:c>
      <x:c r="D133" s="1"/>
      <x:c r="E133" s="25" t="n">
        <x:v>10000</x:v>
      </x:c>
      <x:c r="F133" s="1"/>
      <x:c r="G133" s="1"/>
      <x:c r="H133" s="1"/>
      <x:c r="I133" s="1"/>
      <x:c r="J133" s="1"/>
      <x:c r="K133" s="1"/>
      <x:c r="L133" s="1"/>
      <x:c r="M133" s="1" t="str">
        <x:v>Planning assumption; replace with measured usage or actual invoice.</x:v>
      </x:c>
      <x:c r="N133" s="1"/>
      <x:c r="O133" s="1"/>
      <x:c r="P133" s="1"/>
      <x:c r="Q133" s="1"/>
    </x:row>
    <x:row r="134" ht="21" customHeight="1">
      <x:c r="A134" s="1"/>
      <x:c r="B134" s="1"/>
      <x:c r="C134" s="1" t="str">
        <x:v>D1 write rows per monthly active user</x:v>
      </x:c>
      <x:c r="D134" s="1"/>
      <x:c r="E134" s="25" t="n">
        <x:v>1000</x:v>
      </x:c>
      <x:c r="F134" s="1"/>
      <x:c r="G134" s="1"/>
      <x:c r="H134" s="1"/>
      <x:c r="I134" s="1"/>
      <x:c r="J134" s="1"/>
      <x:c r="K134" s="1"/>
      <x:c r="L134" s="1"/>
      <x:c r="M134" s="1" t="str">
        <x:v>Planning assumption; replace with measured usage or actual invoice.</x:v>
      </x:c>
      <x:c r="N134" s="1"/>
      <x:c r="O134" s="1"/>
      <x:c r="P134" s="1"/>
      <x:c r="Q134" s="1"/>
    </x:row>
    <x:row r="135" ht="21" customHeight="1">
      <x:c r="A135" s="1"/>
      <x:c r="B135" s="1"/>
      <x:c r="C135" s="1" t="str">
        <x:v>Worker CPU milliseconds per request</x:v>
      </x:c>
      <x:c r="D135" s="1"/>
      <x:c r="E135" s="25" t="n">
        <x:v>5</x:v>
      </x:c>
      <x:c r="F135" s="1"/>
      <x:c r="G135" s="1"/>
      <x:c r="H135" s="1"/>
      <x:c r="I135" s="1"/>
      <x:c r="J135" s="1"/>
      <x:c r="K135" s="1"/>
      <x:c r="L135" s="1"/>
      <x:c r="M135" s="1" t="str">
        <x:v>Planning assumption; replace with measured usage or actual invoice.</x:v>
      </x:c>
      <x:c r="N135" s="1"/>
      <x:c r="O135" s="1"/>
      <x:c r="P135" s="1"/>
      <x:c r="Q135" s="1"/>
    </x:row>
    <x:row r="136" ht="21" customHeight="1">
      <x:c r="A136" s="1"/>
      <x:c r="B136" s="1"/>
      <x:c r="C136" s="1" t="str">
        <x:v>Shared session objects across environments</x:v>
      </x:c>
      <x:c r="D136" s="1"/>
      <x:c r="E136" s="25" t="n">
        <x:v>2</x:v>
      </x:c>
      <x:c r="F136" s="1"/>
      <x:c r="G136" s="1"/>
      <x:c r="H136" s="1"/>
      <x:c r="I136" s="1"/>
      <x:c r="J136" s="1"/>
      <x:c r="K136" s="1"/>
      <x:c r="L136" s="1"/>
      <x:c r="M136" s="1" t="str">
        <x:v>Planning assumption; replace with measured usage or actual invoice.</x:v>
      </x:c>
      <x:c r="N136" s="1"/>
      <x:c r="O136" s="1"/>
      <x:c r="P136" s="1"/>
      <x:c r="Q136" s="1"/>
    </x:row>
    <x:row r="137" ht="21" customHeight="1">
      <x:c r="A137" s="1"/>
      <x:c r="B137" s="1"/>
      <x:c r="C137" s="1" t="str">
        <x:v>Shared session awake fraction</x:v>
      </x:c>
      <x:c r="D137" s="1"/>
      <x:c r="E137" s="21" t="n">
        <x:v>1</x:v>
      </x:c>
      <x:c r="F137" s="1"/>
      <x:c r="G137" s="1"/>
      <x:c r="H137" s="1"/>
      <x:c r="I137" s="1"/>
      <x:c r="J137" s="1"/>
      <x:c r="K137" s="1"/>
      <x:c r="L137" s="1"/>
      <x:c r="M137" s="1" t="str">
        <x:v>Planning assumption; replace with measured usage or actual invoice.</x:v>
      </x:c>
      <x:c r="N137" s="1"/>
      <x:c r="O137" s="1"/>
      <x:c r="P137" s="1"/>
      <x:c r="Q137" s="1"/>
    </x:row>
    <x:row r="138" ht="21" customHeight="1">
      <x:c r="A138" s="1"/>
      <x:c r="B138" s="1"/>
      <x:c r="C138" s="1" t="str">
        <x:v>Backend-object memory GB</x:v>
      </x:c>
      <x:c r="D138" s="1"/>
      <x:c r="E138" s="25" t="n">
        <x:v>0.128</x:v>
      </x:c>
      <x:c r="F138" s="1"/>
      <x:c r="G138" s="1"/>
      <x:c r="H138" s="1"/>
      <x:c r="I138" s="1"/>
      <x:c r="J138" s="1"/>
      <x:c r="K138" s="1"/>
      <x:c r="L138" s="1"/>
      <x:c r="M138" s="1" t="str">
        <x:v>Planning assumption; replace with measured usage or actual invoice.</x:v>
      </x:c>
      <x:c r="N138" s="1"/>
      <x:c r="O138" s="1"/>
      <x:c r="P138" s="1"/>
      <x:c r="Q138" s="1"/>
    </x:row>
    <x:row r="139" ht="21" customHeight="1">
      <x:c r="A139" s="1"/>
      <x:c r="B139" s="1"/>
      <x:c r="C139" s="1" t="str">
        <x:v>Staging workload fraction</x:v>
      </x:c>
      <x:c r="D139" s="1"/>
      <x:c r="E139" s="21" t="n">
        <x:v>0.1</x:v>
      </x:c>
      <x:c r="F139" s="1"/>
      <x:c r="G139" s="1"/>
      <x:c r="H139" s="1"/>
      <x:c r="I139" s="1"/>
      <x:c r="J139" s="1"/>
      <x:c r="K139" s="1"/>
      <x:c r="L139" s="1"/>
      <x:c r="M139" s="1" t="str">
        <x:v>Planning assumption; replace with measured usage or actual invoice.</x:v>
      </x:c>
      <x:c r="N139" s="1"/>
      <x:c r="O139" s="1"/>
      <x:c r="P139" s="1"/>
      <x:c r="Q139" s="1"/>
    </x:row>
    <x:row r="140" ht="21" customHeight="1">
      <x:c r="A140" s="1"/>
      <x:c r="B140" s="1"/>
      <x:c r="C140" s="1" t="str">
        <x:v>Logging sample fraction</x:v>
      </x:c>
      <x:c r="D140" s="1"/>
      <x:c r="E140" s="21" t="n">
        <x:v>0.1</x:v>
      </x:c>
      <x:c r="F140" s="1"/>
      <x:c r="G140" s="1"/>
      <x:c r="H140" s="1"/>
      <x:c r="I140" s="1"/>
      <x:c r="J140" s="1"/>
      <x:c r="K140" s="1"/>
      <x:c r="L140" s="1"/>
      <x:c r="M140" s="1" t="str">
        <x:v>Generic service-log budget. Feature-attribution events use 1% sampling and fixed labels with no identifiers; the 10% assumption is a broader conservative allowance.</x:v>
      </x:c>
      <x:c r="N140" s="1"/>
      <x:c r="O140" s="1"/>
      <x:c r="P140" s="1"/>
      <x:c r="Q140" s="1"/>
    </x:row>
    <x:row r="141" ht="21" customHeight="1">
      <x:c r="A141" s="1"/>
      <x:c r="B141" s="1"/>
      <x:c r="C141" s="1" t="str">
        <x:v>Events per sampled HTTP request</x:v>
      </x:c>
      <x:c r="D141" s="1"/>
      <x:c r="E141" s="25" t="n">
        <x:v>2</x:v>
      </x:c>
      <x:c r="F141" s="1"/>
      <x:c r="G141" s="1"/>
      <x:c r="H141" s="1"/>
      <x:c r="I141" s="1"/>
      <x:c r="J141" s="1"/>
      <x:c r="K141" s="1"/>
      <x:c r="L141" s="1"/>
      <x:c r="M141" s="1" t="str">
        <x:v>Planning assumption; replace with measured usage or actual invoice.</x:v>
      </x:c>
      <x:c r="N141" s="1"/>
      <x:c r="O141" s="1"/>
      <x:c r="P141" s="1"/>
      <x:c r="Q141" s="1"/>
    </x:row>
    <x:row r="142" ht="21" customHeight="1">
      <x:c r="A142" s="1"/>
      <x:c r="B142" s="1"/>
      <x:c r="C142" s="1" t="str">
        <x:v>Bytes per log event</x:v>
      </x:c>
      <x:c r="D142" s="1"/>
      <x:c r="E142" s="25" t="n">
        <x:v>1000</x:v>
      </x:c>
      <x:c r="F142" s="1"/>
      <x:c r="G142" s="1"/>
      <x:c r="H142" s="1"/>
      <x:c r="I142" s="1"/>
      <x:c r="J142" s="1"/>
      <x:c r="K142" s="1"/>
      <x:c r="L142" s="1"/>
      <x:c r="M142" s="1" t="str">
        <x:v>Planning assumption; replace with measured usage or actual invoice.</x:v>
      </x:c>
      <x:c r="N142" s="1"/>
      <x:c r="O142" s="1"/>
      <x:c r="P142" s="1"/>
      <x:c r="Q142" s="1"/>
    </x:row>
    <x:row r="143" ht="21" customHeight="1">
      <x:c r="A143" s="1"/>
      <x:c r="B143" s="1"/>
      <x:c r="C143" s="1" t="str">
        <x:v>Log retention days</x:v>
      </x:c>
      <x:c r="D143" s="1"/>
      <x:c r="E143" s="25" t="n">
        <x:v>7</x:v>
      </x:c>
      <x:c r="F143" s="1"/>
      <x:c r="G143" s="1"/>
      <x:c r="H143" s="1"/>
      <x:c r="I143" s="1"/>
      <x:c r="J143" s="1"/>
      <x:c r="K143" s="1"/>
      <x:c r="L143" s="1"/>
      <x:c r="M143" s="1" t="str">
        <x:v>Planning assumption; replace with measured usage or actual invoice.</x:v>
      </x:c>
      <x:c r="N143" s="1"/>
      <x:c r="O143" s="1"/>
      <x:c r="P143" s="1"/>
      <x:c r="Q143" s="1"/>
    </x:row>
    <x:row r="144" ht="21" customHeight="1">
      <x:c r="A144" s="1"/>
      <x:c r="B144" s="1"/>
      <x:c r="C144" s="1" t="str">
        <x:v>Website fixed USD/month</x:v>
      </x:c>
      <x:c r="D144" s="1"/>
      <x:c r="E144" s="25" t="n">
        <x:v>20</x:v>
      </x:c>
      <x:c r="F144" s="1"/>
      <x:c r="G144" s="1"/>
      <x:c r="H144" s="1"/>
      <x:c r="I144" s="1"/>
      <x:c r="J144" s="1"/>
      <x:c r="K144" s="1"/>
      <x:c r="L144" s="1"/>
      <x:c r="M144" s="1" t="str">
        <x:v>https://vercel.com/pricing</x:v>
      </x:c>
      <x:c r="N144" s="1"/>
      <x:c r="O144" s="1"/>
      <x:c r="P144" s="1"/>
      <x:c r="Q144" s="1"/>
    </x:row>
    <x:row r="145" ht="21" customHeight="1">
      <x:c r="A145" s="1"/>
      <x:c r="B145" s="1"/>
      <x:c r="C145" s="1" t="str">
        <x:v>Other tools reserve USD/month</x:v>
      </x:c>
      <x:c r="D145" s="1"/>
      <x:c r="E145" s="25" t="n">
        <x:v>20</x:v>
      </x:c>
      <x:c r="F145" s="1"/>
      <x:c r="G145" s="1"/>
      <x:c r="H145" s="1"/>
      <x:c r="I145" s="1"/>
      <x:c r="J145" s="1"/>
      <x:c r="K145" s="1"/>
      <x:c r="L145" s="1"/>
      <x:c r="M145" s="1" t="str">
        <x:v>Planning assumption; replace with measured usage or actual invoice.</x:v>
      </x:c>
      <x:c r="N145" s="1"/>
      <x:c r="O145" s="1"/>
      <x:c r="P145" s="1"/>
      <x:c r="Q145" s="1"/>
    </x:row>
    <x:row r="146" ht="21" customHeight="1">
      <x:c r="A146" s="1"/>
      <x:c r="B146" s="1"/>
      <x:c r="C146" s="1" t="str">
        <x:v>Website reserve USD per monthly active user</x:v>
      </x:c>
      <x:c r="D146" s="1"/>
      <x:c r="E146" s="25" t="n">
        <x:v>0.01</x:v>
      </x:c>
      <x:c r="F146" s="1"/>
      <x:c r="G146" s="1"/>
      <x:c r="H146" s="1"/>
      <x:c r="I146" s="1"/>
      <x:c r="J146" s="1"/>
      <x:c r="K146" s="1"/>
      <x:c r="L146" s="1"/>
      <x:c r="M146" s="1" t="str">
        <x:v>Planning assumption; replace with measured usage or actual invoice.</x:v>
      </x:c>
      <x:c r="N146" s="1"/>
      <x:c r="O146" s="1"/>
      <x:c r="P146" s="1"/>
      <x:c r="Q146" s="1"/>
    </x:row>
    <x:row r="147" ht="21" customHeight="1">
      <x:c r="A147" s="1"/>
      <x:c r="B147" s="1"/>
      <x:c r="C147" s="1" t="str">
        <x:v>Optional WorkOS custom domain USD/month</x:v>
      </x:c>
      <x:c r="D147" s="1"/>
      <x:c r="E147" s="25" t="n">
        <x:v>0</x:v>
      </x:c>
      <x:c r="F147" s="1"/>
      <x:c r="G147" s="1"/>
      <x:c r="H147" s="1"/>
      <x:c r="I147" s="1"/>
      <x:c r="J147" s="1"/>
      <x:c r="K147" s="1"/>
      <x:c r="L147" s="1"/>
      <x:c r="M147" s="1" t="str">
        <x:v>https://workos.com/pricing</x:v>
      </x:c>
      <x:c r="N147" s="1"/>
      <x:c r="O147" s="1"/>
      <x:c r="P147" s="1"/>
      <x:c r="Q147" s="1"/>
    </x:row>
    <x:row r="148" ht="21" customHeight="1">
      <x:c r="A148" s="1"/>
      <x:c r="B148" s="1"/>
      <x:c r="C148" s="1" t="str">
        <x:v>Optional SSO connections (0 to 15)</x:v>
      </x:c>
      <x:c r="D148" s="1"/>
      <x:c r="E148" s="25" t="n">
        <x:v>0</x:v>
      </x:c>
      <x:c r="F148" s="1"/>
      <x:c r="G148" s="1"/>
      <x:c r="H148" s="1"/>
      <x:c r="I148" s="1"/>
      <x:c r="J148" s="1"/>
      <x:c r="K148" s="1"/>
      <x:c r="L148" s="1"/>
      <x:c r="M148" s="1" t="str">
        <x:v>https://workos.com/pricing</x:v>
      </x:c>
      <x:c r="N148" s="1"/>
      <x:c r="O148" s="1"/>
      <x:c r="P148" s="1"/>
      <x:c r="Q148" s="1"/>
    </x:row>
    <x:row r="149" ht="21" customHeight="1">
      <x:c r="A149" s="1"/>
      <x:c r="B149" s="1"/>
      <x:c r="C149" s="1" t="str">
        <x:v>Priced tunnel allocations per MAU (case 4/5 sensitivity)</x:v>
      </x:c>
      <x:c r="D149" s="1"/>
      <x:c r="E149" s="25" t="n">
        <x:v>1</x:v>
      </x:c>
      <x:c r="F149" s="1"/>
      <x:c r="G149" s="1"/>
      <x:c r="H149" s="1"/>
      <x:c r="I149" s="1"/>
      <x:c r="J149" s="1"/>
      <x:c r="K149" s="1"/>
      <x:c r="L149" s="1"/>
      <x:c r="M149" s="1" t="str">
        <x:v>Planning assumption; replace with measured usage or actual invoice.</x:v>
      </x:c>
      <x:c r="N149" s="1"/>
      <x:c r="O149" s="1"/>
      <x:c r="P149" s="1"/>
      <x:c r="Q149" s="1"/>
    </x:row>
    <x:row r="150" ht="21" customHeight="1">
      <x:c r="A150" s="1"/>
      <x:c r="B150" s="1"/>
      <x:c r="C150" s="1" t="str">
        <x:v>Tunnel USD per allocation/month (unquoted)</x:v>
      </x:c>
      <x:c r="D150" s="1"/>
      <x:c r="E150" s="25" t="n">
        <x:v>0</x:v>
      </x:c>
      <x:c r="F150" s="1"/>
      <x:c r="G150" s="1"/>
      <x:c r="H150" s="1"/>
      <x:c r="I150" s="1"/>
      <x:c r="J150" s="1"/>
      <x:c r="K150" s="1"/>
      <x:c r="L150" s="1"/>
      <x:c r="M150" s="1" t="str">
        <x:v>Zero is a quoted-cost placeholder. Hybrid results exclude unpriced tunnels.</x:v>
      </x:c>
      <x:c r="N150" s="1"/>
      <x:c r="O150" s="1"/>
      <x:c r="P150" s="1"/>
      <x:c r="Q150" s="1"/>
    </x:row>
    <x:row r="151" ht="21" customHeight="1">
      <x:c r="A151" s="1"/>
      <x:c r="B151" s="1"/>
      <x:c r="C151" s="1" t="str">
        <x:v>External-cost contingency fraction</x:v>
      </x:c>
      <x:c r="D151" s="1"/>
      <x:c r="E151" s="21" t="n">
        <x:v>0.25</x:v>
      </x:c>
      <x:c r="F151" s="1"/>
      <x:c r="G151" s="1"/>
      <x:c r="H151" s="1"/>
      <x:c r="I151" s="1"/>
      <x:c r="J151" s="1"/>
      <x:c r="K151" s="1"/>
      <x:c r="L151" s="1"/>
      <x:c r="M151" s="1" t="str">
        <x:v>Planning assumption; replace with measured usage or actual invoice.</x:v>
      </x:c>
      <x:c r="N151" s="1"/>
      <x:c r="O151" s="1"/>
      <x:c r="P151" s="1"/>
      <x:c r="Q151" s="1"/>
    </x:row>
    <x:row r="152" ht="21" customHeight="1">
      <x:c r="A152" s="1"/>
      <x:c r="B152" s="1"/>
      <x:c r="C152" s="1" t="str">
        <x:v>Operator hours/month</x:v>
      </x:c>
      <x:c r="D152" s="1"/>
      <x:c r="E152" s="25" t="n">
        <x:v>10</x:v>
      </x:c>
      <x:c r="F152" s="1"/>
      <x:c r="G152" s="1"/>
      <x:c r="H152" s="1"/>
      <x:c r="I152" s="1"/>
      <x:c r="J152" s="1"/>
      <x:c r="K152" s="1"/>
      <x:c r="L152" s="1"/>
      <x:c r="M152" s="1" t="str">
        <x:v>Planning assumption; replace with measured usage or actual invoice.</x:v>
      </x:c>
      <x:c r="N152" s="1"/>
      <x:c r="O152" s="1"/>
      <x:c r="P152" s="1"/>
      <x:c r="Q152" s="1"/>
    </x:row>
    <x:row r="153" ht="21" customHeight="1">
      <x:c r="A153" s="1"/>
      <x:c r="B153" s="1"/>
      <x:c r="C153" s="1" t="str">
        <x:v>Incident hours/month</x:v>
      </x:c>
      <x:c r="D153" s="1"/>
      <x:c r="E153" s="25" t="n">
        <x:v>2</x:v>
      </x:c>
      <x:c r="F153" s="1"/>
      <x:c r="G153" s="1"/>
      <x:c r="H153" s="1"/>
      <x:c r="I153" s="1"/>
      <x:c r="J153" s="1"/>
      <x:c r="K153" s="1"/>
      <x:c r="L153" s="1"/>
      <x:c r="M153" s="1" t="str">
        <x:v>Planning assumption; replace with measured usage or actual invoice.</x:v>
      </x:c>
      <x:c r="N153" s="1"/>
      <x:c r="O153" s="1"/>
      <x:c r="P153" s="1"/>
      <x:c r="Q153" s="1"/>
    </x:row>
    <x:row r="154" ht="21" customHeight="1">
      <x:c r="A154" s="1"/>
      <x:c r="B154" s="1"/>
      <x:c r="C154" s="1" t="str">
        <x:v>Engineering GBP/hour</x:v>
      </x:c>
      <x:c r="D154" s="1"/>
      <x:c r="E154" s="25" t="n">
        <x:v>60</x:v>
      </x:c>
      <x:c r="F154" s="1"/>
      <x:c r="G154" s="1"/>
      <x:c r="H154" s="1"/>
      <x:c r="I154" s="1"/>
      <x:c r="J154" s="1"/>
      <x:c r="K154" s="1"/>
      <x:c r="L154" s="1"/>
      <x:c r="M154" s="1" t="str">
        <x:v>Planning assumption; replace with measured usage or actual invoice.</x:v>
      </x:c>
      <x:c r="N154" s="1"/>
      <x:c r="O154" s="1"/>
      <x:c r="P154" s="1"/>
      <x:c r="Q154" s="1"/>
    </x:row>
    <x:row r="155" ht="21" customHeight="1">
      <x:c r="A155" s="1"/>
      <x:c r="B155" s="1"/>
      <x:c r="C155" s="1" t="str">
        <x:v>One-time measurement hours in Oct-26</x:v>
      </x:c>
      <x:c r="D155" s="1"/>
      <x:c r="E155" s="25" t="n">
        <x:v>24</x:v>
      </x:c>
      <x:c r="F155" s="1"/>
      <x:c r="G155" s="1"/>
      <x:c r="H155" s="1"/>
      <x:c r="I155" s="1"/>
      <x:c r="J155" s="1"/>
      <x:c r="K155" s="1"/>
      <x:c r="L155" s="1"/>
      <x:c r="M155" s="1" t="str">
        <x:v>Planning assumption; replace with measured usage or actual invoice.</x:v>
      </x:c>
      <x:c r="N155" s="1"/>
      <x:c r="O155" s="1"/>
      <x:c r="P155" s="1"/>
      <x:c r="Q155" s="1"/>
    </x:row>
    <x:row r="156" ht="21" customHeight="1">
      <x:c r="A156" s="1"/>
      <x:c r="B156" s="1"/>
      <x:c r="C156" s="1" t="str">
        <x:v>Support contacts per monthly active user</x:v>
      </x:c>
      <x:c r="D156" s="1"/>
      <x:c r="E156" s="25" t="n">
        <x:v>0.02</x:v>
      </x:c>
      <x:c r="F156" s="1"/>
      <x:c r="G156" s="1"/>
      <x:c r="H156" s="1"/>
      <x:c r="I156" s="1"/>
      <x:c r="J156" s="1"/>
      <x:c r="K156" s="1"/>
      <x:c r="L156" s="1"/>
      <x:c r="M156" s="1" t="str">
        <x:v>Planning assumption; replace with measured usage or actual invoice.</x:v>
      </x:c>
      <x:c r="N156" s="1"/>
      <x:c r="O156" s="1"/>
      <x:c r="P156" s="1"/>
      <x:c r="Q156" s="1"/>
    </x:row>
    <x:row r="157" ht="21" customHeight="1">
      <x:c r="A157" s="1"/>
      <x:c r="B157" s="1"/>
      <x:c r="C157" s="1" t="str">
        <x:v>Minutes per support contact</x:v>
      </x:c>
      <x:c r="D157" s="1"/>
      <x:c r="E157" s="25" t="n">
        <x:v>20</x:v>
      </x:c>
      <x:c r="F157" s="1"/>
      <x:c r="G157" s="1"/>
      <x:c r="H157" s="1"/>
      <x:c r="I157" s="1"/>
      <x:c r="J157" s="1"/>
      <x:c r="K157" s="1"/>
      <x:c r="L157" s="1"/>
      <x:c r="M157" s="1" t="str">
        <x:v>Planning assumption; replace with measured usage or actual invoice.</x:v>
      </x:c>
      <x:c r="N157" s="1"/>
      <x:c r="O157" s="1"/>
      <x:c r="P157" s="1"/>
      <x:c r="Q157" s="1"/>
    </x:row>
    <x:row r="158" ht="21" customHeight="1">
      <x:c r="A158" s="1"/>
      <x:c r="B158" s="1"/>
      <x:c r="C158" s="1" t="str">
        <x:v>Support GBP/hour</x:v>
      </x:c>
      <x:c r="D158" s="1"/>
      <x:c r="E158" s="25" t="n">
        <x:v>30</x:v>
      </x:c>
      <x:c r="F158" s="1"/>
      <x:c r="G158" s="1"/>
      <x:c r="H158" s="1"/>
      <x:c r="I158" s="1"/>
      <x:c r="J158" s="1"/>
      <x:c r="K158" s="1"/>
      <x:c r="L158" s="1"/>
      <x:c r="M158" s="1" t="str">
        <x:v>Planning assumption; replace with measured usage or actual invoice.</x:v>
      </x:c>
      <x:c r="N158" s="1"/>
      <x:c r="O158" s="1"/>
      <x:c r="P158" s="1"/>
      <x:c r="Q158" s="1"/>
    </x:row>
    <x:row r="159" ht="21" customHeight="1">
      <x:c r="A159" s="1"/>
      <x:c r="B159" s="1"/>
      <x:c r="C159" s="1" t="str">
        <x:v>Share of allocated labour paid in cash</x:v>
      </x:c>
      <x:c r="D159" s="1"/>
      <x:c r="E159" s="21" t="n">
        <x:v>0</x:v>
      </x:c>
      <x:c r="F159" s="1"/>
      <x:c r="G159" s="1"/>
      <x:c r="H159" s="1"/>
      <x:c r="I159" s="1"/>
      <x:c r="J159" s="1"/>
      <x:c r="K159" s="1"/>
      <x:c r="L159" s="1"/>
      <x:c r="M159" s="1" t="str">
        <x:v>Zero budgets founder time as opportunity cost. Set to 100% if fully paid.</x:v>
      </x:c>
      <x:c r="N159" s="1"/>
      <x:c r="O159" s="1"/>
      <x:c r="P159" s="1"/>
      <x:c r="Q159" s="1"/>
    </x:row>
    <x:row r="160" ht="21" customHeight="1">
      <x:c r="A160" s="1"/>
      <x:c r="B160" s="1"/>
      <x:c r="C160" s="1" t="str">
        <x:v>Opening external-cost reserve GBP</x:v>
      </x:c>
      <x:c r="D160" s="1"/>
      <x:c r="E160" s="25" t="n">
        <x:v>5000</x:v>
      </x:c>
      <x:c r="F160" s="1"/>
      <x:c r="G160" s="1"/>
      <x:c r="H160" s="1"/>
      <x:c r="I160" s="1"/>
      <x:c r="J160" s="1"/>
      <x:c r="K160" s="1"/>
      <x:c r="L160" s="1"/>
      <x:c r="M160" s="1" t="str">
        <x:v>Planning assumption; replace with measured usage or actual invoice.</x:v>
      </x:c>
      <x:c r="N160" s="1"/>
      <x:c r="O160" s="1"/>
      <x:c r="P160" s="1"/>
      <x:c r="Q160" s="1"/>
    </x:row>
    <x:row r="161" ht="21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24" customHeight="1">
      <x:c r="A162" s="1"/>
      <x:c r="B162" s="1"/>
      <x:c r="C162" s="17" t="str">
        <x:v>Future Cloud Agents assumptions</x:v>
      </x:c>
      <x:c r="D162" s="17"/>
      <x:c r="E162" s="17"/>
      <x:c r="F162" s="17"/>
      <x:c r="G162" s="17"/>
      <x:c r="H162" s="17"/>
      <x:c r="I162" s="17"/>
      <x:c r="J162" s="17"/>
      <x:c r="K162" s="17"/>
      <x:c r="L162" s="1"/>
      <x:c r="M162" s="1"/>
      <x:c r="N162" s="1"/>
      <x:c r="O162" s="1"/>
      <x:c r="P162" s="1"/>
      <x:c r="Q162" s="1"/>
    </x:row>
    <x:row r="163" ht="21" customHeight="1">
      <x:c r="A163" s="1"/>
      <x:c r="B163" s="1"/>
      <x:c r="C163" s="1" t="str">
        <x:v>Launch month (0 disabled; 1 to 12)</x:v>
      </x:c>
      <x:c r="D163" s="1"/>
      <x:c r="E163" s="25" t="n">
        <x:v>0</x:v>
      </x:c>
      <x:c r="F163" s="1"/>
      <x:c r="G163" s="1"/>
      <x:c r="H163" s="1"/>
      <x:c r="I163" s="1"/>
      <x:c r="J163" s="1"/>
      <x:c r="K163" s="1"/>
      <x:c r="L163" s="1"/>
      <x:c r="M163" s="1" t="str">
        <x:v>Illustrative future operating assumption. Cloud Agents remain disabled.</x:v>
      </x:c>
      <x:c r="N163" s="1"/>
      <x:c r="O163" s="1"/>
      <x:c r="P163" s="1"/>
      <x:c r="Q163" s="1"/>
    </x:row>
    <x:row r="164" ht="21" customHeight="1">
      <x:c r="A164" s="1"/>
      <x:c r="B164" s="1"/>
      <x:c r="C164" s="1" t="str">
        <x:v>Active users buying execution</x:v>
      </x:c>
      <x:c r="D164" s="1"/>
      <x:c r="E164" s="21" t="n">
        <x:v>0.03</x:v>
      </x:c>
      <x:c r="F164" s="1"/>
      <x:c r="G164" s="1"/>
      <x:c r="H164" s="1"/>
      <x:c r="I164" s="1"/>
      <x:c r="J164" s="1"/>
      <x:c r="K164" s="1"/>
      <x:c r="L164" s="1"/>
      <x:c r="M164" s="1" t="str">
        <x:v>Illustrative future operating assumption. Cloud Agents remain disabled.</x:v>
      </x:c>
      <x:c r="N164" s="1"/>
      <x:c r="O164" s="1"/>
      <x:c r="P164" s="1"/>
      <x:c r="Q164" s="1"/>
    </x:row>
    <x:row r="165" ht="21" customHeight="1">
      <x:c r="A165" s="1"/>
      <x:c r="B165" s="1"/>
      <x:c r="C165" s="1" t="str">
        <x:v>Billed hours per buyer/month</x:v>
      </x:c>
      <x:c r="D165" s="1"/>
      <x:c r="E165" s="25" t="n">
        <x:v>20</x:v>
      </x:c>
      <x:c r="F165" s="1"/>
      <x:c r="G165" s="1"/>
      <x:c r="H165" s="1"/>
      <x:c r="I165" s="1"/>
      <x:c r="J165" s="1"/>
      <x:c r="K165" s="1"/>
      <x:c r="L165" s="1"/>
      <x:c r="M165" s="1" t="str">
        <x:v>Illustrative future operating assumption. Cloud Agents remain disabled.</x:v>
      </x:c>
      <x:c r="N165" s="1"/>
      <x:c r="O165" s="1"/>
      <x:c r="P165" s="1"/>
      <x:c r="Q165" s="1"/>
    </x:row>
    <x:row r="166" ht="21" customHeight="1">
      <x:c r="A166" s="1"/>
      <x:c r="B166" s="1"/>
      <x:c r="C166" s="1" t="str">
        <x:v>Illustrative GBP per billed hour</x:v>
      </x:c>
      <x:c r="D166" s="1"/>
      <x:c r="E166" s="25" t="n">
        <x:v>0.5</x:v>
      </x:c>
      <x:c r="F166" s="1"/>
      <x:c r="G166" s="1"/>
      <x:c r="H166" s="1"/>
      <x:c r="I166" s="1"/>
      <x:c r="J166" s="1"/>
      <x:c r="K166" s="1"/>
      <x:c r="L166" s="1"/>
      <x:c r="M166" s="1" t="str">
        <x:v>Illustrative future operating assumption. Cloud Agents remain disabled.</x:v>
      </x:c>
      <x:c r="N166" s="1"/>
      <x:c r="O166" s="1"/>
      <x:c r="P166" s="1"/>
      <x:c r="Q166" s="1"/>
    </x:row>
    <x:row r="167" ht="21" customHeight="1">
      <x:c r="A167" s="1"/>
      <x:c r="B167" s="1"/>
      <x:c r="C167" s="1" t="str">
        <x:v>Provisioned vCPU</x:v>
      </x:c>
      <x:c r="D167" s="1"/>
      <x:c r="E167" s="25" t="n">
        <x:v>0.5</x:v>
      </x:c>
      <x:c r="F167" s="1"/>
      <x:c r="G167" s="1"/>
      <x:c r="H167" s="1"/>
      <x:c r="I167" s="1"/>
      <x:c r="J167" s="1"/>
      <x:c r="K167" s="1"/>
      <x:c r="L167" s="1"/>
      <x:c r="M167" s="1" t="str">
        <x:v>Illustrative future operating assumption. Cloud Agents remain disabled.</x:v>
      </x:c>
      <x:c r="N167" s="1"/>
      <x:c r="O167" s="1"/>
      <x:c r="P167" s="1"/>
      <x:c r="Q167" s="1"/>
    </x:row>
    <x:row r="168" ht="21" customHeight="1">
      <x:c r="A168" s="1"/>
      <x:c r="B168" s="1"/>
      <x:c r="C168" s="1" t="str">
        <x:v>Provisioned memory GiB</x:v>
      </x:c>
      <x:c r="D168" s="1"/>
      <x:c r="E168" s="25" t="n">
        <x:v>4</x:v>
      </x:c>
      <x:c r="F168" s="1"/>
      <x:c r="G168" s="1"/>
      <x:c r="H168" s="1"/>
      <x:c r="I168" s="1"/>
      <x:c r="J168" s="1"/>
      <x:c r="K168" s="1"/>
      <x:c r="L168" s="1"/>
      <x:c r="M168" s="1" t="str">
        <x:v>Illustrative future operating assumption. Cloud Agents remain disabled.</x:v>
      </x:c>
      <x:c r="N168" s="1"/>
      <x:c r="O168" s="1"/>
      <x:c r="P168" s="1"/>
      <x:c r="Q168" s="1"/>
    </x:row>
    <x:row r="169" ht="21" customHeight="1">
      <x:c r="A169" s="1"/>
      <x:c r="B169" s="1"/>
      <x:c r="C169" s="1" t="str">
        <x:v>Provisioned disk GB</x:v>
      </x:c>
      <x:c r="D169" s="1"/>
      <x:c r="E169" s="25" t="n">
        <x:v>8</x:v>
      </x:c>
      <x:c r="F169" s="1"/>
      <x:c r="G169" s="1"/>
      <x:c r="H169" s="1"/>
      <x:c r="I169" s="1"/>
      <x:c r="J169" s="1"/>
      <x:c r="K169" s="1"/>
      <x:c r="L169" s="1"/>
      <x:c r="M169" s="1" t="str">
        <x:v>Illustrative future operating assumption. Cloud Agents remain disabled.</x:v>
      </x:c>
      <x:c r="N169" s="1"/>
      <x:c r="O169" s="1"/>
      <x:c r="P169" s="1"/>
      <x:c r="Q169" s="1"/>
    </x:row>
    <x:row r="170" ht="21" customHeight="1">
      <x:c r="A170" s="1"/>
      <x:c r="B170" s="1"/>
      <x:c r="C170" s="1" t="str">
        <x:v>Active CPU utilization</x:v>
      </x:c>
      <x:c r="D170" s="1"/>
      <x:c r="E170" s="21" t="n">
        <x:v>0.25</x:v>
      </x:c>
      <x:c r="F170" s="1"/>
      <x:c r="G170" s="1"/>
      <x:c r="H170" s="1"/>
      <x:c r="I170" s="1"/>
      <x:c r="J170" s="1"/>
      <x:c r="K170" s="1"/>
      <x:c r="L170" s="1"/>
      <x:c r="M170" s="1" t="str">
        <x:v>Illustrative future operating assumption. Cloud Agents remain disabled.</x:v>
      </x:c>
      <x:c r="N170" s="1"/>
      <x:c r="O170" s="1"/>
      <x:c r="P170" s="1"/>
      <x:c r="Q170" s="1"/>
    </x:row>
    <x:row r="171" ht="21" customHeight="1">
      <x:c r="A171" s="1"/>
      <x:c r="B171" s="1"/>
      <x:c r="C171" s="1" t="str">
        <x:v>Startup, warm idle and retry overhead</x:v>
      </x:c>
      <x:c r="D171" s="1"/>
      <x:c r="E171" s="21" t="n">
        <x:v>0.25</x:v>
      </x:c>
      <x:c r="F171" s="1"/>
      <x:c r="G171" s="1"/>
      <x:c r="H171" s="1"/>
      <x:c r="I171" s="1"/>
      <x:c r="J171" s="1"/>
      <x:c r="K171" s="1"/>
      <x:c r="L171" s="1"/>
      <x:c r="M171" s="1" t="str">
        <x:v>Illustrative future operating assumption. Cloud Agents remain disabled.</x:v>
      </x:c>
      <x:c r="N171" s="1"/>
      <x:c r="O171" s="1"/>
      <x:c r="P171" s="1"/>
      <x:c r="Q171" s="1"/>
    </x:row>
    <x:row r="172" ht="21" customHeight="1">
      <x:c r="A172" s="1"/>
      <x:c r="B172" s="1"/>
      <x:c r="C172" s="1" t="str">
        <x:v>Worker requests per running hour</x:v>
      </x:c>
      <x:c r="D172" s="1"/>
      <x:c r="E172" s="25" t="n">
        <x:v>600</x:v>
      </x:c>
      <x:c r="F172" s="1"/>
      <x:c r="G172" s="1"/>
      <x:c r="H172" s="1"/>
      <x:c r="I172" s="1"/>
      <x:c r="J172" s="1"/>
      <x:c r="K172" s="1"/>
      <x:c r="L172" s="1"/>
      <x:c r="M172" s="1" t="str">
        <x:v>Illustrative future operating assumption. Cloud Agents remain disabled.</x:v>
      </x:c>
      <x:c r="N172" s="1"/>
      <x:c r="O172" s="1"/>
      <x:c r="P172" s="1"/>
      <x:c r="Q172" s="1"/>
    </x:row>
    <x:row r="173" ht="21" customHeight="1">
      <x:c r="A173" s="1"/>
      <x:c r="B173" s="1"/>
      <x:c r="C173" s="1" t="str">
        <x:v>Backend-object requests per running hour</x:v>
      </x:c>
      <x:c r="D173" s="1"/>
      <x:c r="E173" s="25" t="n">
        <x:v>1800</x:v>
      </x:c>
      <x:c r="F173" s="1"/>
      <x:c r="G173" s="1"/>
      <x:c r="H173" s="1"/>
      <x:c r="I173" s="1"/>
      <x:c r="J173" s="1"/>
      <x:c r="K173" s="1"/>
      <x:c r="L173" s="1"/>
      <x:c r="M173" s="1" t="str">
        <x:v>Illustrative future operating assumption. Cloud Agents remain disabled.</x:v>
      </x:c>
      <x:c r="N173" s="1"/>
      <x:c r="O173" s="1"/>
      <x:c r="P173" s="1"/>
      <x:c r="Q173" s="1"/>
    </x:row>
    <x:row r="174" ht="21" customHeight="1">
      <x:c r="A174" s="1"/>
      <x:c r="B174" s="1"/>
      <x:c r="C174" s="1" t="str">
        <x:v>SQLite write rows per running hour</x:v>
      </x:c>
      <x:c r="D174" s="1"/>
      <x:c r="E174" s="25" t="n">
        <x:v>1000</x:v>
      </x:c>
      <x:c r="F174" s="1"/>
      <x:c r="G174" s="1"/>
      <x:c r="H174" s="1"/>
      <x:c r="I174" s="1"/>
      <x:c r="J174" s="1"/>
      <x:c r="K174" s="1"/>
      <x:c r="L174" s="1"/>
      <x:c r="M174" s="1" t="str">
        <x:v>Illustrative future operating assumption. Cloud Agents remain disabled.</x:v>
      </x:c>
      <x:c r="N174" s="1"/>
      <x:c r="O174" s="1"/>
      <x:c r="P174" s="1"/>
      <x:c r="Q174" s="1"/>
    </x:row>
    <x:row r="175" ht="21" customHeight="1">
      <x:c r="A175" s="1"/>
      <x:c r="B175" s="1"/>
      <x:c r="C175" s="1" t="str">
        <x:v>SQLite read rows per running hour</x:v>
      </x:c>
      <x:c r="D175" s="1"/>
      <x:c r="E175" s="25" t="n">
        <x:v>10000</x:v>
      </x:c>
      <x:c r="F175" s="1"/>
      <x:c r="G175" s="1"/>
      <x:c r="H175" s="1"/>
      <x:c r="I175" s="1"/>
      <x:c r="J175" s="1"/>
      <x:c r="K175" s="1"/>
      <x:c r="L175" s="1"/>
      <x:c r="M175" s="1" t="str">
        <x:v>Illustrative future operating assumption. Cloud Agents remain disabled.</x:v>
      </x:c>
      <x:c r="N175" s="1"/>
      <x:c r="O175" s="1"/>
      <x:c r="P175" s="1"/>
      <x:c r="Q175" s="1"/>
    </x:row>
    <x:row r="176" ht="21" customHeight="1">
      <x:c r="A176" s="1"/>
      <x:c r="B176" s="1"/>
      <x:c r="C176" s="1" t="str">
        <x:v>Logs GB per running hour</x:v>
      </x:c>
      <x:c r="D176" s="1"/>
      <x:c r="E176" s="25" t="n">
        <x:v>0.001</x:v>
      </x:c>
      <x:c r="F176" s="1"/>
      <x:c r="G176" s="1"/>
      <x:c r="H176" s="1"/>
      <x:c r="I176" s="1"/>
      <x:c r="J176" s="1"/>
      <x:c r="K176" s="1"/>
      <x:c r="L176" s="1"/>
      <x:c r="M176" s="1" t="str">
        <x:v>Illustrative future operating assumption. Cloud Agents remain disabled.</x:v>
      </x:c>
      <x:c r="N176" s="1"/>
      <x:c r="O176" s="1"/>
      <x:c r="P176" s="1"/>
      <x:c r="Q176" s="1"/>
    </x:row>
    <x:row r="177" ht="21" customHeight="1">
      <x:c r="A177" s="1"/>
      <x:c r="B177" s="1"/>
      <x:c r="C177" s="1" t="str">
        <x:v>Container egress GB per running hour</x:v>
      </x:c>
      <x:c r="D177" s="1"/>
      <x:c r="E177" s="25" t="n">
        <x:v>0.1</x:v>
      </x:c>
      <x:c r="F177" s="1"/>
      <x:c r="G177" s="1"/>
      <x:c r="H177" s="1"/>
      <x:c r="I177" s="1"/>
      <x:c r="J177" s="1"/>
      <x:c r="K177" s="1"/>
      <x:c r="L177" s="1"/>
      <x:c r="M177" s="1" t="str">
        <x:v>Illustrative future operating assumption. Cloud Agents remain disabled.</x:v>
      </x:c>
      <x:c r="N177" s="1"/>
      <x:c r="O177" s="1"/>
      <x:c r="P177" s="1"/>
      <x:c r="Q177" s="1"/>
    </x:row>
    <x:row r="178" ht="21" customHeight="1">
      <x:c r="A178" s="1"/>
      <x:c r="B178" s="1"/>
      <x:c r="C178" s="1" t="str">
        <x:v>Card payment percentage</x:v>
      </x:c>
      <x:c r="D178" s="1"/>
      <x:c r="E178" s="21" t="n">
        <x:v>0.015</x:v>
      </x:c>
      <x:c r="F178" s="1"/>
      <x:c r="G178" s="1"/>
      <x:c r="H178" s="1"/>
      <x:c r="I178" s="1"/>
      <x:c r="J178" s="1"/>
      <x:c r="K178" s="1"/>
      <x:c r="L178" s="1"/>
      <x:c r="M178" s="1" t="str">
        <x:v>https://stripe.com/gb/pricing</x:v>
      </x:c>
      <x:c r="N178" s="1"/>
      <x:c r="O178" s="1"/>
      <x:c r="P178" s="1"/>
      <x:c r="Q178" s="1"/>
    </x:row>
    <x:row r="179" ht="21" customHeight="1">
      <x:c r="A179" s="1"/>
      <x:c r="B179" s="1"/>
      <x:c r="C179" s="1" t="str">
        <x:v>Fixed payment GBP</x:v>
      </x:c>
      <x:c r="D179" s="1"/>
      <x:c r="E179" s="25" t="n">
        <x:v>0.2</x:v>
      </x:c>
      <x:c r="F179" s="1"/>
      <x:c r="G179" s="1"/>
      <x:c r="H179" s="1"/>
      <x:c r="I179" s="1"/>
      <x:c r="J179" s="1"/>
      <x:c r="K179" s="1"/>
      <x:c r="L179" s="1"/>
      <x:c r="M179" s="1" t="str">
        <x:v>https://stripe.com/gb/pricing</x:v>
      </x:c>
      <x:c r="N179" s="1"/>
      <x:c r="O179" s="1"/>
      <x:c r="P179" s="1"/>
      <x:c r="Q179" s="1"/>
    </x:row>
    <x:row r="180" ht="21" customHeight="1">
      <x:c r="A180" s="1"/>
      <x:c r="B180" s="1"/>
      <x:c r="C180" s="1" t="str">
        <x:v>Average top-up GBP</x:v>
      </x:c>
      <x:c r="D180" s="1"/>
      <x:c r="E180" s="25" t="n">
        <x:v>20</x:v>
      </x:c>
      <x:c r="F180" s="1"/>
      <x:c r="G180" s="1"/>
      <x:c r="H180" s="1"/>
      <x:c r="I180" s="1"/>
      <x:c r="J180" s="1"/>
      <x:c r="K180" s="1"/>
      <x:c r="L180" s="1"/>
      <x:c r="M180" s="1" t="str">
        <x:v>https://stripe.com/gb/pricing</x:v>
      </x:c>
      <x:c r="N180" s="1"/>
      <x:c r="O180" s="1"/>
      <x:c r="P180" s="1"/>
      <x:c r="Q180" s="1"/>
    </x:row>
    <x:row r="181" ht="21" customHeight="1">
      <x:c r="A181" s="1"/>
      <x:c r="B181" s="1"/>
      <x:c r="C181" s="1" t="str">
        <x:v>Optional Stripe Billing reserve</x:v>
      </x:c>
      <x:c r="D181" s="1"/>
      <x:c r="E181" s="21" t="n">
        <x:v>0.007</x:v>
      </x:c>
      <x:c r="F181" s="1"/>
      <x:c r="G181" s="1"/>
      <x:c r="H181" s="1"/>
      <x:c r="I181" s="1"/>
      <x:c r="J181" s="1"/>
      <x:c r="K181" s="1"/>
      <x:c r="L181" s="1"/>
      <x:c r="M181" s="1" t="str">
        <x:v>https://stripe.com/gb/pricing</x:v>
      </x:c>
      <x:c r="N181" s="1"/>
      <x:c r="O181" s="1"/>
      <x:c r="P181" s="1"/>
      <x:c r="Q181" s="1"/>
    </x:row>
    <x:row r="182" ht="21" customHeight="1">
      <x:c r="A182" s="1"/>
      <x:c r="B182" s="1"/>
      <x:c r="C182" s="1" t="str">
        <x:v>Refund and fraud reserve fraction</x:v>
      </x:c>
      <x:c r="D182" s="1"/>
      <x:c r="E182" s="21" t="n">
        <x:v>0.02</x:v>
      </x:c>
      <x:c r="F182" s="1"/>
      <x:c r="G182" s="1"/>
      <x:c r="H182" s="1"/>
      <x:c r="I182" s="1"/>
      <x:c r="J182" s="1"/>
      <x:c r="K182" s="1"/>
      <x:c r="L182" s="1"/>
      <x:c r="M182" s="1" t="str">
        <x:v>Illustrative future operating assumption. Cloud Agents remain disabled.</x:v>
      </x:c>
      <x:c r="N182" s="1"/>
      <x:c r="O182" s="1"/>
      <x:c r="P182" s="1"/>
      <x:c r="Q182" s="1"/>
    </x:row>
    <x:row r="183" ht="21" customHeight="1">
      <x:c r="A183" s="1"/>
      <x:c r="B183" s="1"/>
      <x:c r="C183" s="1" t="str">
        <x:v>Allocated support GBP per buyer/month</x:v>
      </x:c>
      <x:c r="D183" s="1"/>
      <x:c r="E183" s="25" t="n">
        <x:v>0.25</x:v>
      </x:c>
      <x:c r="F183" s="1"/>
      <x:c r="G183" s="1"/>
      <x:c r="H183" s="1"/>
      <x:c r="I183" s="1"/>
      <x:c r="J183" s="1"/>
      <x:c r="K183" s="1"/>
      <x:c r="L183" s="1"/>
      <x:c r="M183" s="1" t="str">
        <x:v>Illustrative future operating assumption. Cloud Agents remain disabled.</x:v>
      </x:c>
      <x:c r="N183" s="1"/>
      <x:c r="O183" s="1"/>
      <x:c r="P183" s="1"/>
      <x:c r="Q183" s="1"/>
    </x:row>
    <x:row r="184" ht="21" customHeight="1">
      <x:c r="A184" s="1"/>
      <x:c r="B184" s="1"/>
      <x:c r="C184" s="1" t="str">
        <x:v>Peak-to-average running containers</x:v>
      </x:c>
      <x:c r="D184" s="1"/>
      <x:c r="E184" s="25" t="n">
        <x:v>6</x:v>
      </x:c>
      <x:c r="F184" s="1"/>
      <x:c r="G184" s="1"/>
      <x:c r="H184" s="1"/>
      <x:c r="I184" s="1"/>
      <x:c r="J184" s="1"/>
      <x:c r="K184" s="1"/>
      <x:c r="L184" s="1"/>
      <x:c r="M184" s="1" t="str">
        <x:v>Illustrative future operating assumption. Cloud Agents remain disabled.</x:v>
      </x:c>
      <x:c r="N184" s="1"/>
      <x:c r="O184" s="1"/>
      <x:c r="P184" s="1"/>
      <x:c r="Q184" s="1"/>
    </x:row>
    <x:row r="185" ht="21" customHeight="1">
      <x:c r="A185" s="1"/>
      <x:c r="B185" s="1"/>
      <x:c r="C185" s="1" t="str">
        <x:v>Legacy provisioner instance cap</x:v>
      </x:c>
      <x:c r="D185" s="1"/>
      <x:c r="E185" s="25" t="n">
        <x:v>20</x:v>
      </x:c>
      <x:c r="F185" s="1"/>
      <x:c r="G185" s="1"/>
      <x:c r="H185" s="1"/>
      <x:c r="I185" s="1"/>
      <x:c r="J185" s="1"/>
      <x:c r="K185" s="1"/>
      <x:c r="L185" s="1"/>
      <x:c r="M185" s="1" t="str">
        <x:v>Illustrative future operating assumption. Cloud Agents remain disabled.</x:v>
      </x:c>
      <x:c r="N185" s="1"/>
      <x:c r="O185" s="1"/>
      <x:c r="P185" s="1"/>
      <x:c r="Q185" s="1"/>
    </x:row>
    <x:row r="186" ht="21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24" customHeight="1">
      <x:c r="A187" s="1"/>
      <x:c r="B187" s="1"/>
      <x:c r="C187" s="17" t="str">
        <x:v>Published USD rates and account allowances</x:v>
      </x:c>
      <x:c r="D187" s="17"/>
      <x:c r="E187" s="17"/>
      <x:c r="F187" s="17"/>
      <x:c r="G187" s="17"/>
      <x:c r="H187" s="17"/>
      <x:c r="I187" s="17"/>
      <x:c r="J187" s="17"/>
      <x:c r="K187" s="17"/>
      <x:c r="L187" s="1"/>
      <x:c r="M187" s="1"/>
      <x:c r="N187" s="1"/>
      <x:c r="O187" s="1"/>
      <x:c r="P187" s="1"/>
      <x:c r="Q187" s="1"/>
    </x:row>
    <x:row r="188" ht="21" customHeight="1">
      <x:c r="A188" s="1"/>
      <x:c r="B188" s="1"/>
      <x:c r="C188" s="1" t="str">
        <x:v>workersBase</x:v>
      </x:c>
      <x:c r="D188" s="1"/>
      <x:c r="E188" s="27" t="n">
        <x:v>5</x:v>
      </x:c>
      <x:c r="F188" s="1"/>
      <x:c r="G188" s="1"/>
      <x:c r="H188" s="1"/>
      <x:c r="I188" s="1"/>
      <x:c r="J188" s="1"/>
      <x:c r="K188" s="1"/>
      <x:c r="L188" s="1"/>
      <x:c r="M188" s="1" t="str">
        <x:v>https://developers.cloudflare.com/workers/platform/pricing/</x:v>
      </x:c>
      <x:c r="N188" s="1"/>
      <x:c r="O188" s="1"/>
      <x:c r="P188" s="1"/>
      <x:c r="Q188" s="1"/>
    </x:row>
    <x:row r="189" ht="21" customHeight="1">
      <x:c r="A189" s="1"/>
      <x:c r="B189" s="1"/>
      <x:c r="C189" s="1" t="str">
        <x:v>httpIncluded</x:v>
      </x:c>
      <x:c r="D189" s="1"/>
      <x:c r="E189" s="27" t="n">
        <x:v>10000000</x:v>
      </x:c>
      <x:c r="F189" s="1"/>
      <x:c r="G189" s="1"/>
      <x:c r="H189" s="1"/>
      <x:c r="I189" s="1"/>
      <x:c r="J189" s="1"/>
      <x:c r="K189" s="1"/>
      <x:c r="L189" s="1"/>
      <x:c r="M189" s="1" t="str">
        <x:v>https://developers.cloudflare.com/workers/platform/pricing/</x:v>
      </x:c>
      <x:c r="N189" s="1"/>
      <x:c r="O189" s="1"/>
      <x:c r="P189" s="1"/>
      <x:c r="Q189" s="1"/>
    </x:row>
    <x:row r="190" ht="21" customHeight="1">
      <x:c r="A190" s="1"/>
      <x:c r="B190" s="1"/>
      <x:c r="C190" s="1" t="str">
        <x:v>httpPerMillion</x:v>
      </x:c>
      <x:c r="D190" s="1"/>
      <x:c r="E190" s="27" t="n">
        <x:v>0.3</x:v>
      </x:c>
      <x:c r="F190" s="1"/>
      <x:c r="G190" s="1"/>
      <x:c r="H190" s="1"/>
      <x:c r="I190" s="1"/>
      <x:c r="J190" s="1"/>
      <x:c r="K190" s="1"/>
      <x:c r="L190" s="1"/>
      <x:c r="M190" s="1" t="str">
        <x:v>https://developers.cloudflare.com/workers/platform/pricing/</x:v>
      </x:c>
      <x:c r="N190" s="1"/>
      <x:c r="O190" s="1"/>
      <x:c r="P190" s="1"/>
      <x:c r="Q190" s="1"/>
    </x:row>
    <x:row r="191" ht="21" customHeight="1">
      <x:c r="A191" s="1"/>
      <x:c r="B191" s="1"/>
      <x:c r="C191" s="1" t="str">
        <x:v>cpuIncluded</x:v>
      </x:c>
      <x:c r="D191" s="1"/>
      <x:c r="E191" s="27" t="n">
        <x:v>30000000</x:v>
      </x:c>
      <x:c r="F191" s="1"/>
      <x:c r="G191" s="1"/>
      <x:c r="H191" s="1"/>
      <x:c r="I191" s="1"/>
      <x:c r="J191" s="1"/>
      <x:c r="K191" s="1"/>
      <x:c r="L191" s="1"/>
      <x:c r="M191" s="1" t="str">
        <x:v>https://developers.cloudflare.com/workers/platform/pricing/</x:v>
      </x:c>
      <x:c r="N191" s="1"/>
      <x:c r="O191" s="1"/>
      <x:c r="P191" s="1"/>
      <x:c r="Q191" s="1"/>
    </x:row>
    <x:row r="192" ht="21" customHeight="1">
      <x:c r="A192" s="1"/>
      <x:c r="B192" s="1"/>
      <x:c r="C192" s="1" t="str">
        <x:v>cpuPerMillion</x:v>
      </x:c>
      <x:c r="D192" s="1"/>
      <x:c r="E192" s="27" t="n">
        <x:v>0.02</x:v>
      </x:c>
      <x:c r="F192" s="1"/>
      <x:c r="G192" s="1"/>
      <x:c r="H192" s="1"/>
      <x:c r="I192" s="1"/>
      <x:c r="J192" s="1"/>
      <x:c r="K192" s="1"/>
      <x:c r="L192" s="1"/>
      <x:c r="M192" s="1" t="str">
        <x:v>https://developers.cloudflare.com/workers/platform/pricing/</x:v>
      </x:c>
      <x:c r="N192" s="1"/>
      <x:c r="O192" s="1"/>
      <x:c r="P192" s="1"/>
      <x:c r="Q192" s="1"/>
    </x:row>
    <x:row r="193" ht="21" customHeight="1">
      <x:c r="A193" s="1"/>
      <x:c r="B193" s="1"/>
      <x:c r="C193" s="1" t="str">
        <x:v>doReqIncluded</x:v>
      </x:c>
      <x:c r="D193" s="1"/>
      <x:c r="E193" s="27" t="n">
        <x:v>1000000</x:v>
      </x:c>
      <x:c r="F193" s="1"/>
      <x:c r="G193" s="1"/>
      <x:c r="H193" s="1"/>
      <x:c r="I193" s="1"/>
      <x:c r="J193" s="1"/>
      <x:c r="K193" s="1"/>
      <x:c r="L193" s="1"/>
      <x:c r="M193" s="1" t="str">
        <x:v>https://developers.cloudflare.com/durable-objects/platform/pricing/</x:v>
      </x:c>
      <x:c r="N193" s="1"/>
      <x:c r="O193" s="1"/>
      <x:c r="P193" s="1"/>
      <x:c r="Q193" s="1"/>
    </x:row>
    <x:row r="194" ht="21" customHeight="1">
      <x:c r="A194" s="1"/>
      <x:c r="B194" s="1"/>
      <x:c r="C194" s="1" t="str">
        <x:v>doReqPerMillion</x:v>
      </x:c>
      <x:c r="D194" s="1"/>
      <x:c r="E194" s="27" t="n">
        <x:v>0.15</x:v>
      </x:c>
      <x:c r="F194" s="1"/>
      <x:c r="G194" s="1"/>
      <x:c r="H194" s="1"/>
      <x:c r="I194" s="1"/>
      <x:c r="J194" s="1"/>
      <x:c r="K194" s="1"/>
      <x:c r="L194" s="1"/>
      <x:c r="M194" s="1" t="str">
        <x:v>https://developers.cloudflare.com/durable-objects/platform/pricing/</x:v>
      </x:c>
      <x:c r="N194" s="1"/>
      <x:c r="O194" s="1"/>
      <x:c r="P194" s="1"/>
      <x:c r="Q194" s="1"/>
    </x:row>
    <x:row r="195" ht="21" customHeight="1">
      <x:c r="A195" s="1"/>
      <x:c r="B195" s="1"/>
      <x:c r="C195" s="1" t="str">
        <x:v>doDurationIncluded</x:v>
      </x:c>
      <x:c r="D195" s="1"/>
      <x:c r="E195" s="27" t="n">
        <x:v>400000</x:v>
      </x:c>
      <x:c r="F195" s="1"/>
      <x:c r="G195" s="1"/>
      <x:c r="H195" s="1"/>
      <x:c r="I195" s="1"/>
      <x:c r="J195" s="1"/>
      <x:c r="K195" s="1"/>
      <x:c r="L195" s="1"/>
      <x:c r="M195" s="1" t="str">
        <x:v>https://developers.cloudflare.com/durable-objects/platform/pricing/</x:v>
      </x:c>
      <x:c r="N195" s="1"/>
      <x:c r="O195" s="1"/>
      <x:c r="P195" s="1"/>
      <x:c r="Q195" s="1"/>
    </x:row>
    <x:row r="196" ht="21" customHeight="1">
      <x:c r="A196" s="1"/>
      <x:c r="B196" s="1"/>
      <x:c r="C196" s="1" t="str">
        <x:v>doDurationPerMillion</x:v>
      </x:c>
      <x:c r="D196" s="1"/>
      <x:c r="E196" s="27" t="n">
        <x:v>12.5</x:v>
      </x:c>
      <x:c r="F196" s="1"/>
      <x:c r="G196" s="1"/>
      <x:c r="H196" s="1"/>
      <x:c r="I196" s="1"/>
      <x:c r="J196" s="1"/>
      <x:c r="K196" s="1"/>
      <x:c r="L196" s="1"/>
      <x:c r="M196" s="1" t="str">
        <x:v>https://developers.cloudflare.com/durable-objects/platform/pricing/</x:v>
      </x:c>
      <x:c r="N196" s="1"/>
      <x:c r="O196" s="1"/>
      <x:c r="P196" s="1"/>
      <x:c r="Q196" s="1"/>
    </x:row>
    <x:row r="197" ht="21" customHeight="1">
      <x:c r="A197" s="1"/>
      <x:c r="B197" s="1"/>
      <x:c r="C197" s="1" t="str">
        <x:v>doReadsIncluded</x:v>
      </x:c>
      <x:c r="D197" s="1"/>
      <x:c r="E197" s="27" t="n">
        <x:v>25000000000</x:v>
      </x:c>
      <x:c r="F197" s="1"/>
      <x:c r="G197" s="1"/>
      <x:c r="H197" s="1"/>
      <x:c r="I197" s="1"/>
      <x:c r="J197" s="1"/>
      <x:c r="K197" s="1"/>
      <x:c r="L197" s="1"/>
      <x:c r="M197" s="1" t="str">
        <x:v>https://developers.cloudflare.com/durable-objects/platform/pricing/</x:v>
      </x:c>
      <x:c r="N197" s="1"/>
      <x:c r="O197" s="1"/>
      <x:c r="P197" s="1"/>
      <x:c r="Q197" s="1"/>
    </x:row>
    <x:row r="198" ht="21" customHeight="1">
      <x:c r="A198" s="1"/>
      <x:c r="B198" s="1"/>
      <x:c r="C198" s="1" t="str">
        <x:v>doReadsPerMillion</x:v>
      </x:c>
      <x:c r="D198" s="1"/>
      <x:c r="E198" s="27" t="n">
        <x:v>0.001</x:v>
      </x:c>
      <x:c r="F198" s="1"/>
      <x:c r="G198" s="1"/>
      <x:c r="H198" s="1"/>
      <x:c r="I198" s="1"/>
      <x:c r="J198" s="1"/>
      <x:c r="K198" s="1"/>
      <x:c r="L198" s="1"/>
      <x:c r="M198" s="1" t="str">
        <x:v>https://developers.cloudflare.com/durable-objects/platform/pricing/</x:v>
      </x:c>
      <x:c r="N198" s="1"/>
      <x:c r="O198" s="1"/>
      <x:c r="P198" s="1"/>
      <x:c r="Q198" s="1"/>
    </x:row>
    <x:row r="199" ht="21" customHeight="1">
      <x:c r="A199" s="1"/>
      <x:c r="B199" s="1"/>
      <x:c r="C199" s="1" t="str">
        <x:v>doWritesIncluded</x:v>
      </x:c>
      <x:c r="D199" s="1"/>
      <x:c r="E199" s="27" t="n">
        <x:v>50000000</x:v>
      </x:c>
      <x:c r="F199" s="1"/>
      <x:c r="G199" s="1"/>
      <x:c r="H199" s="1"/>
      <x:c r="I199" s="1"/>
      <x:c r="J199" s="1"/>
      <x:c r="K199" s="1"/>
      <x:c r="L199" s="1"/>
      <x:c r="M199" s="1" t="str">
        <x:v>https://developers.cloudflare.com/durable-objects/platform/pricing/</x:v>
      </x:c>
      <x:c r="N199" s="1"/>
      <x:c r="O199" s="1"/>
      <x:c r="P199" s="1"/>
      <x:c r="Q199" s="1"/>
    </x:row>
    <x:row r="200" ht="21" customHeight="1">
      <x:c r="A200" s="1"/>
      <x:c r="B200" s="1"/>
      <x:c r="C200" s="1" t="str">
        <x:v>doWritesPerMillion</x:v>
      </x:c>
      <x:c r="D200" s="1"/>
      <x:c r="E200" s="27" t="n">
        <x:v>1</x:v>
      </x:c>
      <x:c r="F200" s="1"/>
      <x:c r="G200" s="1"/>
      <x:c r="H200" s="1"/>
      <x:c r="I200" s="1"/>
      <x:c r="J200" s="1"/>
      <x:c r="K200" s="1"/>
      <x:c r="L200" s="1"/>
      <x:c r="M200" s="1" t="str">
        <x:v>https://developers.cloudflare.com/durable-objects/platform/pricing/</x:v>
      </x:c>
      <x:c r="N200" s="1"/>
      <x:c r="O200" s="1"/>
      <x:c r="P200" s="1"/>
      <x:c r="Q200" s="1"/>
    </x:row>
    <x:row r="201" ht="21" customHeight="1">
      <x:c r="A201" s="1"/>
      <x:c r="B201" s="1"/>
      <x:c r="C201" s="1" t="str">
        <x:v>doGbIncluded</x:v>
      </x:c>
      <x:c r="D201" s="1"/>
      <x:c r="E201" s="27" t="n">
        <x:v>5</x:v>
      </x:c>
      <x:c r="F201" s="1"/>
      <x:c r="G201" s="1"/>
      <x:c r="H201" s="1"/>
      <x:c r="I201" s="1"/>
      <x:c r="J201" s="1"/>
      <x:c r="K201" s="1"/>
      <x:c r="L201" s="1"/>
      <x:c r="M201" s="1" t="str">
        <x:v>https://developers.cloudflare.com/durable-objects/platform/pricing/</x:v>
      </x:c>
      <x:c r="N201" s="1"/>
      <x:c r="O201" s="1"/>
      <x:c r="P201" s="1"/>
      <x:c r="Q201" s="1"/>
    </x:row>
    <x:row r="202" ht="21" customHeight="1">
      <x:c r="A202" s="1"/>
      <x:c r="B202" s="1"/>
      <x:c r="C202" s="1" t="str">
        <x:v>doGbPrice</x:v>
      </x:c>
      <x:c r="D202" s="1"/>
      <x:c r="E202" s="27" t="n">
        <x:v>0.2</x:v>
      </x:c>
      <x:c r="F202" s="1"/>
      <x:c r="G202" s="1"/>
      <x:c r="H202" s="1"/>
      <x:c r="I202" s="1"/>
      <x:c r="J202" s="1"/>
      <x:c r="K202" s="1"/>
      <x:c r="L202" s="1"/>
      <x:c r="M202" s="1" t="str">
        <x:v>https://developers.cloudflare.com/durable-objects/platform/pricing/</x:v>
      </x:c>
      <x:c r="N202" s="1"/>
      <x:c r="O202" s="1"/>
      <x:c r="P202" s="1"/>
      <x:c r="Q202" s="1"/>
    </x:row>
    <x:row r="203" ht="21" customHeight="1">
      <x:c r="A203" s="1"/>
      <x:c r="B203" s="1"/>
      <x:c r="C203" s="1" t="str">
        <x:v>r2GbIncluded</x:v>
      </x:c>
      <x:c r="D203" s="1"/>
      <x:c r="E203" s="27" t="n">
        <x:v>10</x:v>
      </x:c>
      <x:c r="F203" s="1"/>
      <x:c r="G203" s="1"/>
      <x:c r="H203" s="1"/>
      <x:c r="I203" s="1"/>
      <x:c r="J203" s="1"/>
      <x:c r="K203" s="1"/>
      <x:c r="L203" s="1"/>
      <x:c r="M203" s="1" t="str">
        <x:v>https://developers.cloudflare.com/r2/pricing/</x:v>
      </x:c>
      <x:c r="N203" s="1"/>
      <x:c r="O203" s="1"/>
      <x:c r="P203" s="1"/>
      <x:c r="Q203" s="1"/>
    </x:row>
    <x:row r="204" ht="21" customHeight="1">
      <x:c r="A204" s="1"/>
      <x:c r="B204" s="1"/>
      <x:c r="C204" s="1" t="str">
        <x:v>r2GbPrice</x:v>
      </x:c>
      <x:c r="D204" s="1"/>
      <x:c r="E204" s="27" t="n">
        <x:v>0.015</x:v>
      </x:c>
      <x:c r="F204" s="1"/>
      <x:c r="G204" s="1"/>
      <x:c r="H204" s="1"/>
      <x:c r="I204" s="1"/>
      <x:c r="J204" s="1"/>
      <x:c r="K204" s="1"/>
      <x:c r="L204" s="1"/>
      <x:c r="M204" s="1" t="str">
        <x:v>https://developers.cloudflare.com/r2/pricing/</x:v>
      </x:c>
      <x:c r="N204" s="1"/>
      <x:c r="O204" s="1"/>
      <x:c r="P204" s="1"/>
      <x:c r="Q204" s="1"/>
    </x:row>
    <x:row r="205" ht="21" customHeight="1">
      <x:c r="A205" s="1"/>
      <x:c r="B205" s="1"/>
      <x:c r="C205" s="1" t="str">
        <x:v>r2AIncluded</x:v>
      </x:c>
      <x:c r="D205" s="1"/>
      <x:c r="E205" s="27" t="n">
        <x:v>1000000</x:v>
      </x:c>
      <x:c r="F205" s="1"/>
      <x:c r="G205" s="1"/>
      <x:c r="H205" s="1"/>
      <x:c r="I205" s="1"/>
      <x:c r="J205" s="1"/>
      <x:c r="K205" s="1"/>
      <x:c r="L205" s="1"/>
      <x:c r="M205" s="1" t="str">
        <x:v>https://developers.cloudflare.com/r2/pricing/</x:v>
      </x:c>
      <x:c r="N205" s="1"/>
      <x:c r="O205" s="1"/>
      <x:c r="P205" s="1"/>
      <x:c r="Q205" s="1"/>
    </x:row>
    <x:row r="206">
      <x:c r="C206" t="str">
        <x:v>r2APerMillion</x:v>
      </x:c>
      <x:c r="E206" s="29" t="n">
        <x:v>4.5</x:v>
      </x:c>
      <x:c r="M206" t="str">
        <x:v>https://developers.cloudflare.com/r2/pricing/</x:v>
      </x:c>
    </x:row>
    <x:row r="207">
      <x:c r="C207" t="str">
        <x:v>r2BIncluded</x:v>
      </x:c>
      <x:c r="E207" s="29" t="n">
        <x:v>10000000</x:v>
      </x:c>
      <x:c r="M207" t="str">
        <x:v>https://developers.cloudflare.com/r2/pricing/</x:v>
      </x:c>
    </x:row>
    <x:row r="208">
      <x:c r="C208" t="str">
        <x:v>r2BPerMillion</x:v>
      </x:c>
      <x:c r="E208" s="29" t="n">
        <x:v>0.36</x:v>
      </x:c>
      <x:c r="M208" t="str">
        <x:v>https://developers.cloudflare.com/r2/pricing/</x:v>
      </x:c>
    </x:row>
    <x:row r="209">
      <x:c r="C209" t="str">
        <x:v>d1ReadsIncluded</x:v>
      </x:c>
      <x:c r="E209" s="29" t="n">
        <x:v>25000000000</x:v>
      </x:c>
      <x:c r="M209" t="str">
        <x:v>https://developers.cloudflare.com/d1/platform/pricing/</x:v>
      </x:c>
    </x:row>
    <x:row r="210">
      <x:c r="C210" t="str">
        <x:v>d1ReadsPerMillion</x:v>
      </x:c>
      <x:c r="E210" s="29" t="n">
        <x:v>0.001</x:v>
      </x:c>
      <x:c r="M210" t="str">
        <x:v>https://developers.cloudflare.com/d1/platform/pricing/</x:v>
      </x:c>
    </x:row>
    <x:row r="211">
      <x:c r="C211" t="str">
        <x:v>d1WritesIncluded</x:v>
      </x:c>
      <x:c r="E211" s="29" t="n">
        <x:v>50000000</x:v>
      </x:c>
      <x:c r="M211" t="str">
        <x:v>https://developers.cloudflare.com/d1/platform/pricing/</x:v>
      </x:c>
    </x:row>
    <x:row r="212">
      <x:c r="C212" t="str">
        <x:v>d1WritesPerMillion</x:v>
      </x:c>
      <x:c r="E212" s="29" t="n">
        <x:v>1</x:v>
      </x:c>
      <x:c r="M212" t="str">
        <x:v>https://developers.cloudflare.com/d1/platform/pricing/</x:v>
      </x:c>
    </x:row>
    <x:row r="213">
      <x:c r="C213" t="str">
        <x:v>d1GbIncluded</x:v>
      </x:c>
      <x:c r="E213" s="29" t="n">
        <x:v>5</x:v>
      </x:c>
      <x:c r="M213" t="str">
        <x:v>https://developers.cloudflare.com/d1/platform/pricing/</x:v>
      </x:c>
    </x:row>
    <x:row r="214">
      <x:c r="C214" t="str">
        <x:v>d1GbPrice</x:v>
      </x:c>
      <x:c r="E214" s="29" t="n">
        <x:v>0.75</x:v>
      </x:c>
      <x:c r="M214" t="str">
        <x:v>https://developers.cloudflare.com/d1/platform/pricing/</x:v>
      </x:c>
    </x:row>
    <x:row r="215">
      <x:c r="C215" t="str">
        <x:v>oldLogEventsIncluded</x:v>
      </x:c>
      <x:c r="E215" s="29" t="n">
        <x:v>20000000</x:v>
      </x:c>
      <x:c r="M215" t="str">
        <x:v>https://developers.cloudflare.com/workers/platform/pricing/</x:v>
      </x:c>
    </x:row>
    <x:row r="216">
      <x:c r="C216" t="str">
        <x:v>oldLogsPerMillion</x:v>
      </x:c>
      <x:c r="E216" s="29" t="n">
        <x:v>0.6</x:v>
      </x:c>
      <x:c r="M216" t="str">
        <x:v>https://developers.cloudflare.com/workers/platform/pricing/</x:v>
      </x:c>
    </x:row>
    <x:row r="217">
      <x:c r="C217" t="str">
        <x:v>logGbIncluded</x:v>
      </x:c>
      <x:c r="E217" s="29" t="n">
        <x:v>50</x:v>
      </x:c>
      <x:c r="M217" t="str">
        <x:v>https://developers.cloudflare.com/observability/pricing/</x:v>
      </x:c>
    </x:row>
    <x:row r="218">
      <x:c r="C218" t="str">
        <x:v>logGbPrice</x:v>
      </x:c>
      <x:c r="E218" s="29" t="n">
        <x:v>0.25</x:v>
      </x:c>
      <x:c r="M218" t="str">
        <x:v>https://developers.cloudflare.com/observability/pricing/</x:v>
      </x:c>
    </x:row>
    <x:row r="219">
      <x:c r="C219" t="str">
        <x:v>logStoredGbIncluded</x:v>
      </x:c>
      <x:c r="E219" s="29" t="n">
        <x:v>12</x:v>
      </x:c>
      <x:c r="M219" t="str">
        <x:v>https://developers.cloudflare.com/observability/pricing/</x:v>
      </x:c>
    </x:row>
    <x:row r="220">
      <x:c r="C220" t="str">
        <x:v>logStoredGbPrice</x:v>
      </x:c>
      <x:c r="E220" s="29" t="n">
        <x:v>0.1</x:v>
      </x:c>
      <x:c r="M220" t="str">
        <x:v>https://developers.cloudflare.com/observability/pricing/</x:v>
      </x:c>
    </x:row>
    <x:row r="221">
      <x:c r="C221" t="str">
        <x:v>containerCpuHoursIncluded</x:v>
      </x:c>
      <x:c r="E221" s="29" t="n">
        <x:v>6.25</x:v>
      </x:c>
      <x:c r="M221" t="str">
        <x:v>https://developers.cloudflare.com/containers/platform/pricing/</x:v>
      </x:c>
    </x:row>
    <x:row r="222">
      <x:c r="C222" t="str">
        <x:v>containerCpuHour</x:v>
      </x:c>
      <x:c r="E222" s="29" t="n">
        <x:v>0.072</x:v>
      </x:c>
      <x:c r="M222" t="str">
        <x:v>https://developers.cloudflare.com/containers/platform/pricing/</x:v>
      </x:c>
    </x:row>
    <x:row r="223">
      <x:c r="C223" t="str">
        <x:v>containerMemoryHoursIncluded</x:v>
      </x:c>
      <x:c r="E223" s="29" t="n">
        <x:v>25</x:v>
      </x:c>
      <x:c r="M223" t="str">
        <x:v>https://developers.cloudflare.com/containers/platform/pricing/</x:v>
      </x:c>
    </x:row>
    <x:row r="224">
      <x:c r="C224" t="str">
        <x:v>containerMemoryHour</x:v>
      </x:c>
      <x:c r="E224" s="29" t="n">
        <x:v>0.009</x:v>
      </x:c>
      <x:c r="M224" t="str">
        <x:v>https://developers.cloudflare.com/containers/platform/pricing/</x:v>
      </x:c>
    </x:row>
    <x:row r="225">
      <x:c r="C225" t="str">
        <x:v>containerDiskHoursIncluded</x:v>
      </x:c>
      <x:c r="E225" s="29" t="n">
        <x:v>200</x:v>
      </x:c>
      <x:c r="M225" t="str">
        <x:v>https://developers.cloudflare.com/containers/platform/pricing/</x:v>
      </x:c>
    </x:row>
    <x:row r="226">
      <x:c r="C226" t="str">
        <x:v>containerDiskHour</x:v>
      </x:c>
      <x:c r="E226" s="29" t="n">
        <x:v>0.000252</x:v>
      </x:c>
      <x:c r="M226" t="str">
        <x:v>https://developers.cloudflare.com/containers/platform/pricing/</x:v>
      </x:c>
    </x:row>
    <x:row r="227">
      <x:c r="C227" t="str">
        <x:v>containerEgressGbIncluded</x:v>
      </x:c>
      <x:c r="E227" s="29" t="n">
        <x:v>1000</x:v>
      </x:c>
      <x:c r="M227" t="str">
        <x:v>https://developers.cloudflare.com/containers/platform/pricing/</x:v>
      </x:c>
    </x:row>
    <x:row r="228">
      <x:c r="C228" t="str">
        <x:v>containerEgressGbPrice</x:v>
      </x:c>
      <x:c r="E228" s="29" t="n">
        <x:v>0.025</x:v>
      </x:c>
      <x:c r="M228" t="str">
        <x:v>https://developers.cloudflare.com/containers/platform/pricing/</x:v>
      </x:c>
    </x:row>
  </x:sheetData>
  <x:dataValidations count="3">
    <x:dataValidation type="whole" operator="between" sqref="E4">
      <x:formula1>1</x:formula1>
      <x:formula2>5</x:formula2>
    </x:dataValidation>
    <x:dataValidation type="whole" operator="greaterThanOrEqual" sqref="F7:Q7">
      <x:formula1>0</x:formula1>
    </x:dataValidation>
    <x:dataValidation type="whole" operator="between" sqref="E163">
      <x:formula1>0</x:formula1>
      <x:formula2>12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6" hidden="0" customWidth="1"/>
    <x:col min="5" max="5" width="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1"/>
      <x:c r="B2" s="1"/>
      <x:c r="C2" s="2" t="str">
        <x:v>Monthly service forecast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1" customHeight="1">
      <x:c r="A4" s="1"/>
      <x:c r="B4" s="1"/>
      <x:c r="C4" s="1" t="str">
        <x:v>Case selected:</x:v>
      </x:c>
      <x:c r="D4" s="1"/>
      <x:c r="E4" s="1"/>
      <x:c r="F4" s="5" t="str">
        <x:f>'Assumptions'!F4</x:f>
        <x:v>Host-local full scope</x:v>
      </x:c>
      <x:c r="G4" s="6"/>
      <x:c r="H4" s="6"/>
      <x:c r="I4" s="7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1"/>
      <x:c r="B6" s="1"/>
      <x:c r="C6" s="1"/>
      <x:c r="D6" s="1" t="str">
        <x:v>Total / stock</x:v>
      </x:c>
      <x:c r="E6" s="1"/>
      <x:c r="F6" s="14" t="n">
        <x:f>'Assumptions'!F6</x:f>
        <x:v>46299</x:v>
      </x:c>
      <x:c r="G6" s="14" t="n">
        <x:f>'Assumptions'!G6</x:f>
        <x:v>46327</x:v>
      </x:c>
      <x:c r="H6" s="14" t="n">
        <x:f>'Assumptions'!H6</x:f>
        <x:v>46357</x:v>
      </x:c>
      <x:c r="I6" s="14" t="n">
        <x:f>'Assumptions'!I6</x:f>
        <x:v>46388</x:v>
      </x:c>
      <x:c r="J6" s="14" t="n">
        <x:f>'Assumptions'!J6</x:f>
        <x:v>46419</x:v>
      </x:c>
      <x:c r="K6" s="14" t="n">
        <x:f>'Assumptions'!K6</x:f>
        <x:v>46447</x:v>
      </x:c>
      <x:c r="L6" s="14" t="n">
        <x:f>'Assumptions'!L6</x:f>
        <x:v>46478</x:v>
      </x:c>
      <x:c r="M6" s="14" t="n">
        <x:f>'Assumptions'!M6</x:f>
        <x:v>46508</x:v>
      </x:c>
      <x:c r="N6" s="14" t="n">
        <x:f>'Assumptions'!N6</x:f>
        <x:v>46539</x:v>
      </x:c>
      <x:c r="O6" s="14" t="n">
        <x:f>'Assumptions'!O6</x:f>
        <x:v>46569</x:v>
      </x:c>
      <x:c r="P6" s="14" t="n">
        <x:f>'Assumptions'!P6</x:f>
        <x:v>46600</x:v>
      </x:c>
      <x:c r="Q6" s="14" t="n">
        <x:f>'Assumptions'!Q6</x:f>
        <x:v>46631</x:v>
      </x:c>
    </x:row>
    <x:row r="7" ht="21" customHeight="1">
      <x:c r="A7" s="1"/>
      <x:c r="B7" s="1"/>
      <x:c r="C7" s="1" t="str">
        <x:v>Daily active users (DAU)</x:v>
      </x:c>
      <x:c r="D7" s="18" t="n">
        <x:f>Q7</x:f>
        <x:v>1000</x:v>
      </x:c>
      <x:c r="E7" s="18"/>
      <x:c r="F7" s="18" t="n">
        <x:f>'Assumptions'!F7</x:f>
        <x:v>100</x:v>
      </x:c>
      <x:c r="G7" s="18" t="n">
        <x:f>'Assumptions'!G7</x:f>
        <x:v>150</x:v>
      </x:c>
      <x:c r="H7" s="18" t="n">
        <x:f>'Assumptions'!H7</x:f>
        <x:v>220</x:v>
      </x:c>
      <x:c r="I7" s="18" t="n">
        <x:f>'Assumptions'!I7</x:f>
        <x:v>300</x:v>
      </x:c>
      <x:c r="J7" s="18" t="n">
        <x:f>'Assumptions'!J7</x:f>
        <x:v>400</x:v>
      </x:c>
      <x:c r="K7" s="18" t="n">
        <x:f>'Assumptions'!K7</x:f>
        <x:v>500</x:v>
      </x:c>
      <x:c r="L7" s="18" t="n">
        <x:f>'Assumptions'!L7</x:f>
        <x:v>600</x:v>
      </x:c>
      <x:c r="M7" s="18" t="n">
        <x:f>'Assumptions'!M7</x:f>
        <x:v>700</x:v>
      </x:c>
      <x:c r="N7" s="18" t="n">
        <x:f>'Assumptions'!N7</x:f>
        <x:v>800</x:v>
      </x:c>
      <x:c r="O7" s="18" t="n">
        <x:f>'Assumptions'!O7</x:f>
        <x:v>900</x:v>
      </x:c>
      <x:c r="P7" s="18" t="n">
        <x:f>'Assumptions'!P7</x:f>
        <x:v>1000</x:v>
      </x:c>
      <x:c r="Q7" s="18" t="n">
        <x:f>'Assumptions'!Q7</x:f>
        <x:v>1000</x:v>
      </x:c>
    </x:row>
    <x:row r="8" ht="21" customHeight="1">
      <x:c r="A8" s="1"/>
      <x:c r="B8" s="1"/>
      <x:c r="C8" s="1" t="str">
        <x:v>Monthly active users (MAU)</x:v>
      </x:c>
      <x:c r="D8" s="18" t="n">
        <x:f>Q8</x:f>
        <x:v>4000</x:v>
      </x:c>
      <x:c r="E8" s="18"/>
      <x:c r="F8" s="18" t="n">
        <x:f>F7/'Assumptions'!$E$125</x:f>
        <x:v>400</x:v>
      </x:c>
      <x:c r="G8" s="18" t="n">
        <x:f>G7/'Assumptions'!$E$125</x:f>
        <x:v>600</x:v>
      </x:c>
      <x:c r="H8" s="18" t="n">
        <x:f>H7/'Assumptions'!$E$125</x:f>
        <x:v>880</x:v>
      </x:c>
      <x:c r="I8" s="18" t="n">
        <x:f>I7/'Assumptions'!$E$125</x:f>
        <x:v>1200</x:v>
      </x:c>
      <x:c r="J8" s="18" t="n">
        <x:f>J7/'Assumptions'!$E$125</x:f>
        <x:v>1600</x:v>
      </x:c>
      <x:c r="K8" s="18" t="n">
        <x:f>K7/'Assumptions'!$E$125</x:f>
        <x:v>2000</x:v>
      </x:c>
      <x:c r="L8" s="18" t="n">
        <x:f>L7/'Assumptions'!$E$125</x:f>
        <x:v>2400</x:v>
      </x:c>
      <x:c r="M8" s="18" t="n">
        <x:f>M7/'Assumptions'!$E$125</x:f>
        <x:v>2800</x:v>
      </x:c>
      <x:c r="N8" s="18" t="n">
        <x:f>N7/'Assumptions'!$E$125</x:f>
        <x:v>3200</x:v>
      </x:c>
      <x:c r="O8" s="18" t="n">
        <x:f>O7/'Assumptions'!$E$125</x:f>
        <x:v>3600</x:v>
      </x:c>
      <x:c r="P8" s="18" t="n">
        <x:f>P7/'Assumptions'!$E$125</x:f>
        <x:v>4000</x:v>
      </x:c>
      <x:c r="Q8" s="18" t="n">
        <x:f>Q7/'Assumptions'!$E$125</x:f>
        <x:v>4000</x:v>
      </x:c>
    </x:row>
    <x:row r="9" ht="21" customHeight="1">
      <x:c r="A9" s="1"/>
      <x:c r="B9" s="1"/>
      <x:c r="C9" s="1" t="str">
        <x:v>Forecast days in period</x:v>
      </x:c>
      <x:c r="D9" s="18" t="n">
        <x:f>SUM(F9:Q9)</x:f>
        <x:v>362</x:v>
      </x:c>
      <x:c r="E9" s="18"/>
      <x:c r="F9" s="18" t="n">
        <x:f>DAY(EOMONTH(F$6,0))-DAY(F$6)+1</x:f>
        <x:v>28</x:v>
      </x:c>
      <x:c r="G9" s="18" t="n">
        <x:f>DAY(EOMONTH(G$6,0))-DAY(G$6)+1</x:f>
        <x:v>30</x:v>
      </x:c>
      <x:c r="H9" s="18" t="n">
        <x:f>DAY(EOMONTH(H$6,0))-DAY(H$6)+1</x:f>
        <x:v>31</x:v>
      </x:c>
      <x:c r="I9" s="18" t="n">
        <x:f>DAY(EOMONTH(I$6,0))-DAY(I$6)+1</x:f>
        <x:v>31</x:v>
      </x:c>
      <x:c r="J9" s="18" t="n">
        <x:f>DAY(EOMONTH(J$6,0))-DAY(J$6)+1</x:f>
        <x:v>28</x:v>
      </x:c>
      <x:c r="K9" s="18" t="n">
        <x:f>DAY(EOMONTH(K$6,0))-DAY(K$6)+1</x:f>
        <x:v>31</x:v>
      </x:c>
      <x:c r="L9" s="18" t="n">
        <x:f>DAY(EOMONTH(L$6,0))-DAY(L$6)+1</x:f>
        <x:v>30</x:v>
      </x:c>
      <x:c r="M9" s="18" t="n">
        <x:f>DAY(EOMONTH(M$6,0))-DAY(M$6)+1</x:f>
        <x:v>31</x:v>
      </x:c>
      <x:c r="N9" s="18" t="n">
        <x:f>DAY(EOMONTH(N$6,0))-DAY(N$6)+1</x:f>
        <x:v>30</x:v>
      </x:c>
      <x:c r="O9" s="18" t="n">
        <x:f>DAY(EOMONTH(O$6,0))-DAY(O$6)+1</x:f>
        <x:v>31</x:v>
      </x:c>
      <x:c r="P9" s="18" t="n">
        <x:f>DAY(EOMONTH(P$6,0))-DAY(P$6)+1</x:f>
        <x:v>31</x:v>
      </x:c>
      <x:c r="Q9" s="18" t="n">
        <x:f>DAY(EOMONTH(Q$6,0))-DAY(Q$6)+1</x:f>
        <x:v>30</x:v>
      </x:c>
    </x:row>
    <x:row r="10" ht="21" customHeight="1">
      <x:c r="A10" s="1"/>
      <x:c r="B10" s="1"/>
      <x:c r="C10" s="1" t="str">
        <x:v>Retained registered accounts</x:v>
      </x:c>
      <x:c r="D10" s="18" t="n">
        <x:f>Q10</x:f>
        <x:v>20000</x:v>
      </x:c>
      <x:c r="E10" s="18"/>
      <x:c r="F10" s="18" t="n">
        <x:f>MAX(0,F8*'Assumptions'!$E$127)</x:f>
        <x:v>2000</x:v>
      </x:c>
      <x:c r="G10" s="18" t="n">
        <x:f>MAX(F10,G8*'Assumptions'!$E$127)</x:f>
        <x:v>3000</x:v>
      </x:c>
      <x:c r="H10" s="18" t="n">
        <x:f>MAX(G10,H8*'Assumptions'!$E$127)</x:f>
        <x:v>4400</x:v>
      </x:c>
      <x:c r="I10" s="18" t="n">
        <x:f>MAX(H10,I8*'Assumptions'!$E$127)</x:f>
        <x:v>6000</x:v>
      </x:c>
      <x:c r="J10" s="18" t="n">
        <x:f>MAX(I10,J8*'Assumptions'!$E$127)</x:f>
        <x:v>8000</x:v>
      </x:c>
      <x:c r="K10" s="18" t="n">
        <x:f>MAX(J10,K8*'Assumptions'!$E$127)</x:f>
        <x:v>10000</x:v>
      </x:c>
      <x:c r="L10" s="18" t="n">
        <x:f>MAX(K10,L8*'Assumptions'!$E$127)</x:f>
        <x:v>12000</x:v>
      </x:c>
      <x:c r="M10" s="18" t="n">
        <x:f>MAX(L10,M8*'Assumptions'!$E$127)</x:f>
        <x:v>14000</x:v>
      </x:c>
      <x:c r="N10" s="18" t="n">
        <x:f>MAX(M10,N8*'Assumptions'!$E$127)</x:f>
        <x:v>16000</x:v>
      </x:c>
      <x:c r="O10" s="18" t="n">
        <x:f>MAX(N10,O8*'Assumptions'!$E$127)</x:f>
        <x:v>18000</x:v>
      </x:c>
      <x:c r="P10" s="18" t="n">
        <x:f>MAX(O10,P8*'Assumptions'!$E$127)</x:f>
        <x:v>20000</x:v>
      </x:c>
      <x:c r="Q10" s="18" t="n">
        <x:f>MAX(P10,Q8*'Assumptions'!$E$127)</x:f>
        <x:v>20000</x:v>
      </x:c>
    </x:row>
    <x:row r="11" ht="21" customHeight="1">
      <x:c r="A11" s="1"/>
      <x:c r="B11" s="1"/>
      <x:c r="C11" s="1" t="str">
        <x:v>Heavy request-equivalent accounts</x:v>
      </x:c>
      <x:c r="D11" s="18" t="n">
        <x:f>SUM(F11:Q11)</x:f>
        <x:v>1362.7288888888888</x:v>
      </x:c>
      <x:c r="E11" s="18"/>
      <x:c r="F11" s="18" t="n">
        <x:f>F7*'Assumptions'!$H$24*F9/30</x:f>
        <x:v>18.82222222222222</x:v>
      </x:c>
      <x:c r="G11" s="18" t="n">
        <x:f>G7*'Assumptions'!$H$24*G9/30</x:f>
        <x:v>30.25</x:v>
      </x:c>
      <x:c r="H11" s="18" t="n">
        <x:f>H7*'Assumptions'!$H$24*H9/30</x:f>
        <x:v>45.845555555555556</x:v>
      </x:c>
      <x:c r="I11" s="18" t="n">
        <x:f>I7*'Assumptions'!$H$24*I9/30</x:f>
        <x:v>62.516666666666666</x:v>
      </x:c>
      <x:c r="J11" s="18" t="n">
        <x:f>J7*'Assumptions'!$H$24*J9/30</x:f>
        <x:v>75.28888888888888</x:v>
      </x:c>
      <x:c r="K11" s="18" t="n">
        <x:f>K7*'Assumptions'!$H$24*K9/30</x:f>
        <x:v>104.19444444444443</x:v>
      </x:c>
      <x:c r="L11" s="18" t="n">
        <x:f>L7*'Assumptions'!$H$24*L9/30</x:f>
        <x:v>121</x:v>
      </x:c>
      <x:c r="M11" s="18" t="n">
        <x:f>M7*'Assumptions'!$H$24*M9/30</x:f>
        <x:v>145.8722222222222</x:v>
      </x:c>
      <x:c r="N11" s="18" t="n">
        <x:f>N7*'Assumptions'!$H$24*N9/30</x:f>
        <x:v>161.33333333333331</x:v>
      </x:c>
      <x:c r="O11" s="18" t="n">
        <x:f>O7*'Assumptions'!$H$24*O9/30</x:f>
        <x:v>187.55</x:v>
      </x:c>
      <x:c r="P11" s="18" t="n">
        <x:f>P7*'Assumptions'!$H$24*P9/30</x:f>
        <x:v>208.38888888888886</x:v>
      </x:c>
      <x:c r="Q11" s="18" t="n">
        <x:f>Q7*'Assumptions'!$H$24*Q9/30</x:f>
        <x:v>201.66666666666666</x:v>
      </x:c>
    </x:row>
    <x:row r="12" ht="21" customHeight="1">
      <x:c r="A12" s="1"/>
      <x:c r="B12" s="1"/>
      <x:c r="C12" s="1" t="str">
        <x:v>Execution buyers</x:v>
      </x:c>
      <x:c r="D12" s="18" t="n">
        <x:f>Q12</x:f>
        <x:v>0</x:v>
      </x:c>
      <x:c r="E12" s="18"/>
      <x:c r="F12" s="18" t="n">
        <x:f>IF(AND('Assumptions'!$E$163&gt;0,1&gt;='Assumptions'!$E$163),F8*'Assumptions'!$E$164,0)</x:f>
        <x:v>0</x:v>
      </x:c>
      <x:c r="G12" s="18" t="n">
        <x:f>IF(AND('Assumptions'!$E$163&gt;0,2&gt;='Assumptions'!$E$163),G8*'Assumptions'!$E$164,0)</x:f>
        <x:v>0</x:v>
      </x:c>
      <x:c r="H12" s="18" t="n">
        <x:f>IF(AND('Assumptions'!$E$163&gt;0,3&gt;='Assumptions'!$E$163),H8*'Assumptions'!$E$164,0)</x:f>
        <x:v>0</x:v>
      </x:c>
      <x:c r="I12" s="18" t="n">
        <x:f>IF(AND('Assumptions'!$E$163&gt;0,4&gt;='Assumptions'!$E$163),I8*'Assumptions'!$E$164,0)</x:f>
        <x:v>0</x:v>
      </x:c>
      <x:c r="J12" s="18" t="n">
        <x:f>IF(AND('Assumptions'!$E$163&gt;0,5&gt;='Assumptions'!$E$163),J8*'Assumptions'!$E$164,0)</x:f>
        <x:v>0</x:v>
      </x:c>
      <x:c r="K12" s="18" t="n">
        <x:f>IF(AND('Assumptions'!$E$163&gt;0,6&gt;='Assumptions'!$E$163),K8*'Assumptions'!$E$164,0)</x:f>
        <x:v>0</x:v>
      </x:c>
      <x:c r="L12" s="18" t="n">
        <x:f>IF(AND('Assumptions'!$E$163&gt;0,7&gt;='Assumptions'!$E$163),L8*'Assumptions'!$E$164,0)</x:f>
        <x:v>0</x:v>
      </x:c>
      <x:c r="M12" s="18" t="n">
        <x:f>IF(AND('Assumptions'!$E$163&gt;0,8&gt;='Assumptions'!$E$163),M8*'Assumptions'!$E$164,0)</x:f>
        <x:v>0</x:v>
      </x:c>
      <x:c r="N12" s="18" t="n">
        <x:f>IF(AND('Assumptions'!$E$163&gt;0,9&gt;='Assumptions'!$E$163),N8*'Assumptions'!$E$164,0)</x:f>
        <x:v>0</x:v>
      </x:c>
      <x:c r="O12" s="18" t="n">
        <x:f>IF(AND('Assumptions'!$E$163&gt;0,10&gt;='Assumptions'!$E$163),O8*'Assumptions'!$E$164,0)</x:f>
        <x:v>0</x:v>
      </x:c>
      <x:c r="P12" s="18" t="n">
        <x:f>IF(AND('Assumptions'!$E$163&gt;0,11&gt;='Assumptions'!$E$163),P8*'Assumptions'!$E$164,0)</x:f>
        <x:v>0</x:v>
      </x:c>
      <x:c r="Q12" s="18" t="n">
        <x:f>IF(AND('Assumptions'!$E$163&gt;0,12&gt;='Assumptions'!$E$163),Q8*'Assumptions'!$E$164,0)</x:f>
        <x:v>0</x:v>
      </x:c>
    </x:row>
    <x:row r="13" ht="21" customHeight="1">
      <x:c r="A13" s="1"/>
      <x:c r="B13" s="1"/>
      <x:c r="C13" s="1" t="str">
        <x:v>Billed execution hours</x:v>
      </x:c>
      <x:c r="D13" s="18" t="n">
        <x:f>SUM(F13:Q13)</x:f>
        <x:v>0</x:v>
      </x:c>
      <x:c r="E13" s="18"/>
      <x:c r="F13" s="18" t="n">
        <x:f>F12*'Assumptions'!$E$165</x:f>
        <x:v>0</x:v>
      </x:c>
      <x:c r="G13" s="18" t="n">
        <x:f>G12*'Assumptions'!$E$165</x:f>
        <x:v>0</x:v>
      </x:c>
      <x:c r="H13" s="18" t="n">
        <x:f>H12*'Assumptions'!$E$165</x:f>
        <x:v>0</x:v>
      </x:c>
      <x:c r="I13" s="18" t="n">
        <x:f>I12*'Assumptions'!$E$165</x:f>
        <x:v>0</x:v>
      </x:c>
      <x:c r="J13" s="18" t="n">
        <x:f>J12*'Assumptions'!$E$165</x:f>
        <x:v>0</x:v>
      </x:c>
      <x:c r="K13" s="18" t="n">
        <x:f>K12*'Assumptions'!$E$165</x:f>
        <x:v>0</x:v>
      </x:c>
      <x:c r="L13" s="18" t="n">
        <x:f>L12*'Assumptions'!$E$165</x:f>
        <x:v>0</x:v>
      </x:c>
      <x:c r="M13" s="18" t="n">
        <x:f>M12*'Assumptions'!$E$165</x:f>
        <x:v>0</x:v>
      </x:c>
      <x:c r="N13" s="18" t="n">
        <x:f>N12*'Assumptions'!$E$165</x:f>
        <x:v>0</x:v>
      </x:c>
      <x:c r="O13" s="18" t="n">
        <x:f>O12*'Assumptions'!$E$165</x:f>
        <x:v>0</x:v>
      </x:c>
      <x:c r="P13" s="18" t="n">
        <x:f>P12*'Assumptions'!$E$165</x:f>
        <x:v>0</x:v>
      </x:c>
      <x:c r="Q13" s="18" t="n">
        <x:f>Q12*'Assumptions'!$E$165</x:f>
        <x:v>0</x:v>
      </x:c>
    </x:row>
    <x:row r="14" ht="21" customHeight="1">
      <x:c r="A14" s="1"/>
      <x:c r="B14" s="1"/>
      <x:c r="C14" s="1" t="str">
        <x:v>Running execution hours</x:v>
      </x:c>
      <x:c r="D14" s="18" t="n">
        <x:f>SUM(F14:Q14)</x:f>
        <x:v>0</x:v>
      </x:c>
      <x:c r="E14" s="18"/>
      <x:c r="F14" s="18" t="n">
        <x:f>F13*(1+'Assumptions'!$E$171)</x:f>
        <x:v>0</x:v>
      </x:c>
      <x:c r="G14" s="18" t="n">
        <x:f>G13*(1+'Assumptions'!$E$171)</x:f>
        <x:v>0</x:v>
      </x:c>
      <x:c r="H14" s="18" t="n">
        <x:f>H13*(1+'Assumptions'!$E$171)</x:f>
        <x:v>0</x:v>
      </x:c>
      <x:c r="I14" s="18" t="n">
        <x:f>I13*(1+'Assumptions'!$E$171)</x:f>
        <x:v>0</x:v>
      </x:c>
      <x:c r="J14" s="18" t="n">
        <x:f>J13*(1+'Assumptions'!$E$171)</x:f>
        <x:v>0</x:v>
      </x:c>
      <x:c r="K14" s="18" t="n">
        <x:f>K13*(1+'Assumptions'!$E$171)</x:f>
        <x:v>0</x:v>
      </x:c>
      <x:c r="L14" s="18" t="n">
        <x:f>L13*(1+'Assumptions'!$E$171)</x:f>
        <x:v>0</x:v>
      </x:c>
      <x:c r="M14" s="18" t="n">
        <x:f>M13*(1+'Assumptions'!$E$171)</x:f>
        <x:v>0</x:v>
      </x:c>
      <x:c r="N14" s="18" t="n">
        <x:f>N13*(1+'Assumptions'!$E$171)</x:f>
        <x:v>0</x:v>
      </x:c>
      <x:c r="O14" s="18" t="n">
        <x:f>O13*(1+'Assumptions'!$E$171)</x:f>
        <x:v>0</x:v>
      </x:c>
      <x:c r="P14" s="18" t="n">
        <x:f>P13*(1+'Assumptions'!$E$171)</x:f>
        <x:v>0</x:v>
      </x:c>
      <x:c r="Q14" s="18" t="n">
        <x:f>Q13*(1+'Assumptions'!$E$171)</x:f>
        <x:v>0</x:v>
      </x:c>
    </x:row>
    <x:row r="15" ht="21" customHeight="1">
      <x:c r="A15" s="1"/>
      <x:c r="B15" s="1"/>
      <x:c r="C15" s="1" t="str">
        <x:v>Estimated peak containers</x:v>
      </x:c>
      <x:c r="D15" s="18" t="n">
        <x:f>MAX(F15:Q15)</x:f>
        <x:v>0</x:v>
      </x:c>
      <x:c r="E15" s="18"/>
      <x:c r="F15" s="18" t="n">
        <x:f>F14/F9/24*'Assumptions'!$E$184</x:f>
        <x:v>0</x:v>
      </x:c>
      <x:c r="G15" s="18" t="n">
        <x:f>G14/G9/24*'Assumptions'!$E$184</x:f>
        <x:v>0</x:v>
      </x:c>
      <x:c r="H15" s="18" t="n">
        <x:f>H14/H9/24*'Assumptions'!$E$184</x:f>
        <x:v>0</x:v>
      </x:c>
      <x:c r="I15" s="18" t="n">
        <x:f>I14/I9/24*'Assumptions'!$E$184</x:f>
        <x:v>0</x:v>
      </x:c>
      <x:c r="J15" s="18" t="n">
        <x:f>J14/J9/24*'Assumptions'!$E$184</x:f>
        <x:v>0</x:v>
      </x:c>
      <x:c r="K15" s="18" t="n">
        <x:f>K14/K9/24*'Assumptions'!$E$184</x:f>
        <x:v>0</x:v>
      </x:c>
      <x:c r="L15" s="18" t="n">
        <x:f>L14/L9/24*'Assumptions'!$E$184</x:f>
        <x:v>0</x:v>
      </x:c>
      <x:c r="M15" s="18" t="n">
        <x:f>M14/M9/24*'Assumptions'!$E$184</x:f>
        <x:v>0</x:v>
      </x:c>
      <x:c r="N15" s="18" t="n">
        <x:f>N14/N9/24*'Assumptions'!$E$184</x:f>
        <x:v>0</x:v>
      </x:c>
      <x:c r="O15" s="18" t="n">
        <x:f>O14/O9/24*'Assumptions'!$E$184</x:f>
        <x:v>0</x:v>
      </x:c>
      <x:c r="P15" s="18" t="n">
        <x:f>P14/P9/24*'Assumptions'!$E$184</x:f>
        <x:v>0</x:v>
      </x:c>
      <x:c r="Q15" s="18" t="n">
        <x:f>Q14/Q9/24*'Assumptions'!$E$184</x:f>
        <x:v>0</x:v>
      </x:c>
    </x:row>
    <x:row r="16" ht="24" customHeight="1">
      <x:c r="A16" s="1"/>
      <x:c r="B16" s="1"/>
      <x:c r="C16" s="17" t="str">
        <x:v>Host-local activity and retained history (case 5)</x:v>
      </x:c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</x:row>
    <x:row r="17" ht="21" customHeight="1">
      <x:c r="A17" s="1"/>
      <x:c r="B17" s="1"/>
      <x:c r="C17" s="1" t="str">
        <x:v>Registered execution hosts</x:v>
      </x:c>
      <x:c r="D17" s="18" t="n">
        <x:f>Q17</x:f>
        <x:v>12000</x:v>
      </x:c>
      <x:c r="E17" s="18"/>
      <x:c r="F17" s="18" t="n">
        <x:f>IF('Assumptions'!$E$4=5,F8*'Assumptions'!$E$28,0)</x:f>
        <x:v>1200</x:v>
      </x:c>
      <x:c r="G17" s="18" t="n">
        <x:f>IF('Assumptions'!$E$4=5,G8*'Assumptions'!$E$28,0)</x:f>
        <x:v>1800</x:v>
      </x:c>
      <x:c r="H17" s="18" t="n">
        <x:f>IF('Assumptions'!$E$4=5,H8*'Assumptions'!$E$28,0)</x:f>
        <x:v>2640</x:v>
      </x:c>
      <x:c r="I17" s="18" t="n">
        <x:f>IF('Assumptions'!$E$4=5,I8*'Assumptions'!$E$28,0)</x:f>
        <x:v>3600</x:v>
      </x:c>
      <x:c r="J17" s="18" t="n">
        <x:f>IF('Assumptions'!$E$4=5,J8*'Assumptions'!$E$28,0)</x:f>
        <x:v>4800</x:v>
      </x:c>
      <x:c r="K17" s="18" t="n">
        <x:f>IF('Assumptions'!$E$4=5,K8*'Assumptions'!$E$28,0)</x:f>
        <x:v>6000</x:v>
      </x:c>
      <x:c r="L17" s="18" t="n">
        <x:f>IF('Assumptions'!$E$4=5,L8*'Assumptions'!$E$28,0)</x:f>
        <x:v>7200</x:v>
      </x:c>
      <x:c r="M17" s="18" t="n">
        <x:f>IF('Assumptions'!$E$4=5,M8*'Assumptions'!$E$28,0)</x:f>
        <x:v>8400</x:v>
      </x:c>
      <x:c r="N17" s="18" t="n">
        <x:f>IF('Assumptions'!$E$4=5,N8*'Assumptions'!$E$28,0)</x:f>
        <x:v>9600</x:v>
      </x:c>
      <x:c r="O17" s="18" t="n">
        <x:f>IF('Assumptions'!$E$4=5,O8*'Assumptions'!$E$28,0)</x:f>
        <x:v>10800</x:v>
      </x:c>
      <x:c r="P17" s="18" t="n">
        <x:f>IF('Assumptions'!$E$4=5,P8*'Assumptions'!$E$28,0)</x:f>
        <x:v>12000</x:v>
      </x:c>
      <x:c r="Q17" s="18" t="n">
        <x:f>IF('Assumptions'!$E$4=5,Q8*'Assumptions'!$E$28,0)</x:f>
        <x:v>12000</x:v>
      </x:c>
    </x:row>
    <x:row r="18" ht="21" customHeight="1">
      <x:c r="A18" s="1"/>
      <x:c r="B18" s="1"/>
      <x:c r="C18" s="1" t="str">
        <x:v>Connected device-hours</x:v>
      </x:c>
      <x:c r="D18" s="18" t="n">
        <x:f>SUM(F18:Q18)</x:f>
        <x:v>981164.8</x:v>
      </x:c>
      <x:c r="E18" s="18"/>
      <x:c r="F18" s="18" t="n">
        <x:f>IF('Assumptions'!$E$4=5,F7*'Assumptions'!$E$30*F9,0)</x:f>
        <x:v>13552</x:v>
      </x:c>
      <x:c r="G18" s="18" t="n">
        <x:f>IF('Assumptions'!$E$4=5,G7*'Assumptions'!$E$30*G9,0)</x:f>
        <x:v>21780</x:v>
      </x:c>
      <x:c r="H18" s="18" t="n">
        <x:f>IF('Assumptions'!$E$4=5,H7*'Assumptions'!$E$30*H9,0)</x:f>
        <x:v>33008.799999999996</x:v>
      </x:c>
      <x:c r="I18" s="18" t="n">
        <x:f>IF('Assumptions'!$E$4=5,I7*'Assumptions'!$E$30*I9,0)</x:f>
        <x:v>45012</x:v>
      </x:c>
      <x:c r="J18" s="18" t="n">
        <x:f>IF('Assumptions'!$E$4=5,J7*'Assumptions'!$E$30*J9,0)</x:f>
        <x:v>54208</x:v>
      </x:c>
      <x:c r="K18" s="18" t="n">
        <x:f>IF('Assumptions'!$E$4=5,K7*'Assumptions'!$E$30*K9,0)</x:f>
        <x:v>75020</x:v>
      </x:c>
      <x:c r="L18" s="18" t="n">
        <x:f>IF('Assumptions'!$E$4=5,L7*'Assumptions'!$E$30*L9,0)</x:f>
        <x:v>87120</x:v>
      </x:c>
      <x:c r="M18" s="18" t="n">
        <x:f>IF('Assumptions'!$E$4=5,M7*'Assumptions'!$E$30*M9,0)</x:f>
        <x:v>105028</x:v>
      </x:c>
      <x:c r="N18" s="18" t="n">
        <x:f>IF('Assumptions'!$E$4=5,N7*'Assumptions'!$E$30*N9,0)</x:f>
        <x:v>116160</x:v>
      </x:c>
      <x:c r="O18" s="18" t="n">
        <x:f>IF('Assumptions'!$E$4=5,O7*'Assumptions'!$E$30*O9,0)</x:f>
        <x:v>135036</x:v>
      </x:c>
      <x:c r="P18" s="18" t="n">
        <x:f>IF('Assumptions'!$E$4=5,P7*'Assumptions'!$E$30*P9,0)</x:f>
        <x:v>150040</x:v>
      </x:c>
      <x:c r="Q18" s="18" t="n">
        <x:f>IF('Assumptions'!$E$4=5,Q7*'Assumptions'!$E$30*Q9,0)</x:f>
        <x:v>145200</x:v>
      </x:c>
    </x:row>
    <x:row r="19" ht="21" customHeight="1">
      <x:c r="A19" s="1"/>
      <x:c r="B19" s="1"/>
      <x:c r="C19" s="1" t="str">
        <x:v>Active attempt-hours</x:v>
      </x:c>
      <x:c r="D19" s="18" t="n">
        <x:f>SUM(F19:Q19)</x:f>
        <x:v>50680</x:v>
      </x:c>
      <x:c r="E19" s="18"/>
      <x:c r="F19" s="18" t="n">
        <x:f>IF('Assumptions'!$E$4=5,F7*'Assumptions'!$E$31*F9,0)</x:f>
        <x:v>700</x:v>
      </x:c>
      <x:c r="G19" s="18" t="n">
        <x:f>IF('Assumptions'!$E$4=5,G7*'Assumptions'!$E$31*G9,0)</x:f>
        <x:v>1125</x:v>
      </x:c>
      <x:c r="H19" s="18" t="n">
        <x:f>IF('Assumptions'!$E$4=5,H7*'Assumptions'!$E$31*H9,0)</x:f>
        <x:v>1705</x:v>
      </x:c>
      <x:c r="I19" s="18" t="n">
        <x:f>IF('Assumptions'!$E$4=5,I7*'Assumptions'!$E$31*I9,0)</x:f>
        <x:v>2325</x:v>
      </x:c>
      <x:c r="J19" s="18" t="n">
        <x:f>IF('Assumptions'!$E$4=5,J7*'Assumptions'!$E$31*J9,0)</x:f>
        <x:v>2800</x:v>
      </x:c>
      <x:c r="K19" s="18" t="n">
        <x:f>IF('Assumptions'!$E$4=5,K7*'Assumptions'!$E$31*K9,0)</x:f>
        <x:v>3875</x:v>
      </x:c>
      <x:c r="L19" s="18" t="n">
        <x:f>IF('Assumptions'!$E$4=5,L7*'Assumptions'!$E$31*L9,0)</x:f>
        <x:v>4500</x:v>
      </x:c>
      <x:c r="M19" s="18" t="n">
        <x:f>IF('Assumptions'!$E$4=5,M7*'Assumptions'!$E$31*M9,0)</x:f>
        <x:v>5425</x:v>
      </x:c>
      <x:c r="N19" s="18" t="n">
        <x:f>IF('Assumptions'!$E$4=5,N7*'Assumptions'!$E$31*N9,0)</x:f>
        <x:v>6000</x:v>
      </x:c>
      <x:c r="O19" s="18" t="n">
        <x:f>IF('Assumptions'!$E$4=5,O7*'Assumptions'!$E$31*O9,0)</x:f>
        <x:v>6975</x:v>
      </x:c>
      <x:c r="P19" s="18" t="n">
        <x:f>IF('Assumptions'!$E$4=5,P7*'Assumptions'!$E$31*P9,0)</x:f>
        <x:v>7750</x:v>
      </x:c>
      <x:c r="Q19" s="18" t="n">
        <x:f>IF('Assumptions'!$E$4=5,Q7*'Assumptions'!$E$31*Q9,0)</x:f>
        <x:v>7500</x:v>
      </x:c>
    </x:row>
    <x:row r="20" ht="21" customHeight="1">
      <x:c r="A20" s="1"/>
      <x:c r="B20" s="1"/>
      <x:c r="C20" s="1" t="str">
        <x:v>Terminal attempts recorded</x:v>
      </x:c>
      <x:c r="D20" s="18" t="n">
        <x:f>SUM(F20:Q20)</x:f>
        <x:v>50680</x:v>
      </x:c>
      <x:c r="E20" s="18"/>
      <x:c r="F20" s="18" t="n">
        <x:f>IF('Assumptions'!$E$4=5,F19*'Assumptions'!$E$74,0)</x:f>
        <x:v>700</x:v>
      </x:c>
      <x:c r="G20" s="18" t="n">
        <x:f>IF('Assumptions'!$E$4=5,G19*'Assumptions'!$E$74,0)</x:f>
        <x:v>1125</x:v>
      </x:c>
      <x:c r="H20" s="18" t="n">
        <x:f>IF('Assumptions'!$E$4=5,H19*'Assumptions'!$E$74,0)</x:f>
        <x:v>1705</x:v>
      </x:c>
      <x:c r="I20" s="18" t="n">
        <x:f>IF('Assumptions'!$E$4=5,I19*'Assumptions'!$E$74,0)</x:f>
        <x:v>2325</x:v>
      </x:c>
      <x:c r="J20" s="18" t="n">
        <x:f>IF('Assumptions'!$E$4=5,J19*'Assumptions'!$E$74,0)</x:f>
        <x:v>2800</x:v>
      </x:c>
      <x:c r="K20" s="18" t="n">
        <x:f>IF('Assumptions'!$E$4=5,K19*'Assumptions'!$E$74,0)</x:f>
        <x:v>3875</x:v>
      </x:c>
      <x:c r="L20" s="18" t="n">
        <x:f>IF('Assumptions'!$E$4=5,L19*'Assumptions'!$E$74,0)</x:f>
        <x:v>4500</x:v>
      </x:c>
      <x:c r="M20" s="18" t="n">
        <x:f>IF('Assumptions'!$E$4=5,M19*'Assumptions'!$E$74,0)</x:f>
        <x:v>5425</x:v>
      </x:c>
      <x:c r="N20" s="18" t="n">
        <x:f>IF('Assumptions'!$E$4=5,N19*'Assumptions'!$E$74,0)</x:f>
        <x:v>6000</x:v>
      </x:c>
      <x:c r="O20" s="18" t="n">
        <x:f>IF('Assumptions'!$E$4=5,O19*'Assumptions'!$E$74,0)</x:f>
        <x:v>6975</x:v>
      </x:c>
      <x:c r="P20" s="18" t="n">
        <x:f>IF('Assumptions'!$E$4=5,P19*'Assumptions'!$E$74,0)</x:f>
        <x:v>7750</x:v>
      </x:c>
      <x:c r="Q20" s="18" t="n">
        <x:f>IF('Assumptions'!$E$4=5,Q19*'Assumptions'!$E$74,0)</x:f>
        <x:v>7500</x:v>
      </x:c>
    </x:row>
    <x:row r="21" ht="21" customHeight="1">
      <x:c r="A21" s="1"/>
      <x:c r="B21" s="1"/>
      <x:c r="C21" s="1" t="str">
        <x:v>Active viewer-hours</x:v>
      </x:c>
      <x:c r="D21" s="18" t="n">
        <x:f>SUM(F21:Q21)</x:f>
        <x:v>981164.8</x:v>
      </x:c>
      <x:c r="E21" s="18"/>
      <x:c r="F21" s="18" t="n">
        <x:f>IF('Assumptions'!$E$4=5,F7*'Assumptions'!$E$32*F9,0)</x:f>
        <x:v>13552</x:v>
      </x:c>
      <x:c r="G21" s="18" t="n">
        <x:f>IF('Assumptions'!$E$4=5,G7*'Assumptions'!$E$32*G9,0)</x:f>
        <x:v>21780</x:v>
      </x:c>
      <x:c r="H21" s="18" t="n">
        <x:f>IF('Assumptions'!$E$4=5,H7*'Assumptions'!$E$32*H9,0)</x:f>
        <x:v>33008.799999999996</x:v>
      </x:c>
      <x:c r="I21" s="18" t="n">
        <x:f>IF('Assumptions'!$E$4=5,I7*'Assumptions'!$E$32*I9,0)</x:f>
        <x:v>45012</x:v>
      </x:c>
      <x:c r="J21" s="18" t="n">
        <x:f>IF('Assumptions'!$E$4=5,J7*'Assumptions'!$E$32*J9,0)</x:f>
        <x:v>54208</x:v>
      </x:c>
      <x:c r="K21" s="18" t="n">
        <x:f>IF('Assumptions'!$E$4=5,K7*'Assumptions'!$E$32*K9,0)</x:f>
        <x:v>75020</x:v>
      </x:c>
      <x:c r="L21" s="18" t="n">
        <x:f>IF('Assumptions'!$E$4=5,L7*'Assumptions'!$E$32*L9,0)</x:f>
        <x:v>87120</x:v>
      </x:c>
      <x:c r="M21" s="18" t="n">
        <x:f>IF('Assumptions'!$E$4=5,M7*'Assumptions'!$E$32*M9,0)</x:f>
        <x:v>105028</x:v>
      </x:c>
      <x:c r="N21" s="18" t="n">
        <x:f>IF('Assumptions'!$E$4=5,N7*'Assumptions'!$E$32*N9,0)</x:f>
        <x:v>116160</x:v>
      </x:c>
      <x:c r="O21" s="18" t="n">
        <x:f>IF('Assumptions'!$E$4=5,O7*'Assumptions'!$E$32*O9,0)</x:f>
        <x:v>135036</x:v>
      </x:c>
      <x:c r="P21" s="18" t="n">
        <x:f>IF('Assumptions'!$E$4=5,P7*'Assumptions'!$E$32*P9,0)</x:f>
        <x:v>150040</x:v>
      </x:c>
      <x:c r="Q21" s="18" t="n">
        <x:f>IF('Assumptions'!$E$4=5,Q7*'Assumptions'!$E$32*Q9,0)</x:f>
        <x:v>145200</x:v>
      </x:c>
    </x:row>
    <x:row r="22" ht="21" customHeight="1">
      <x:c r="A22" s="1"/>
      <x:c r="B22" s="1"/>
      <x:c r="C22" s="1" t="str">
        <x:v>Direct host session-hours</x:v>
      </x:c>
      <x:c r="D22" s="18" t="n">
        <x:f>SUM(F22:Q22)</x:f>
        <x:v>981164.8</x:v>
      </x:c>
      <x:c r="E22" s="18"/>
      <x:c r="F22" s="18" t="n">
        <x:f>F21*'Assumptions'!$E$38*'Assumptions'!$E$51</x:f>
        <x:v>13552</x:v>
      </x:c>
      <x:c r="G22" s="18" t="n">
        <x:f>G21*'Assumptions'!$E$38*'Assumptions'!$E$51</x:f>
        <x:v>21780</x:v>
      </x:c>
      <x:c r="H22" s="18" t="n">
        <x:f>H21*'Assumptions'!$E$38*'Assumptions'!$E$51</x:f>
        <x:v>33008.799999999996</x:v>
      </x:c>
      <x:c r="I22" s="18" t="n">
        <x:f>I21*'Assumptions'!$E$38*'Assumptions'!$E$51</x:f>
        <x:v>45012</x:v>
      </x:c>
      <x:c r="J22" s="18" t="n">
        <x:f>J21*'Assumptions'!$E$38*'Assumptions'!$E$51</x:f>
        <x:v>54208</x:v>
      </x:c>
      <x:c r="K22" s="18" t="n">
        <x:f>K21*'Assumptions'!$E$38*'Assumptions'!$E$51</x:f>
        <x:v>75020</x:v>
      </x:c>
      <x:c r="L22" s="18" t="n">
        <x:f>L21*'Assumptions'!$E$38*'Assumptions'!$E$51</x:f>
        <x:v>87120</x:v>
      </x:c>
      <x:c r="M22" s="18" t="n">
        <x:f>M21*'Assumptions'!$E$38*'Assumptions'!$E$51</x:f>
        <x:v>105028</x:v>
      </x:c>
      <x:c r="N22" s="18" t="n">
        <x:f>N21*'Assumptions'!$E$38*'Assumptions'!$E$51</x:f>
        <x:v>116160</x:v>
      </x:c>
      <x:c r="O22" s="18" t="n">
        <x:f>O21*'Assumptions'!$E$38*'Assumptions'!$E$51</x:f>
        <x:v>135036</x:v>
      </x:c>
      <x:c r="P22" s="18" t="n">
        <x:f>P21*'Assumptions'!$E$38*'Assumptions'!$E$51</x:f>
        <x:v>150040</x:v>
      </x:c>
      <x:c r="Q22" s="18" t="n">
        <x:f>Q21*'Assumptions'!$E$38*'Assumptions'!$E$51</x:f>
        <x:v>145200</x:v>
      </x:c>
    </x:row>
    <x:row r="23" ht="21" customHeight="1">
      <x:c r="A23" s="1"/>
      <x:c r="B23" s="1"/>
      <x:c r="C23" s="1" t="str">
        <x:v>Direct host-session refreshes</x:v>
      </x:c>
      <x:c r="D23" s="18" t="n">
        <x:f>SUM(F23:Q23)</x:f>
        <x:v>117739776</x:v>
      </x:c>
      <x:c r="E23" s="18"/>
      <x:c r="F23" s="18" t="n">
        <x:f>F22*3600/'Assumptions'!$E$39</x:f>
        <x:v>1626240</x:v>
      </x:c>
      <x:c r="G23" s="18" t="n">
        <x:f>G22*3600/'Assumptions'!$E$39</x:f>
        <x:v>2613600</x:v>
      </x:c>
      <x:c r="H23" s="18" t="n">
        <x:f>H22*3600/'Assumptions'!$E$39</x:f>
        <x:v>3961055.9999999995</x:v>
      </x:c>
      <x:c r="I23" s="18" t="n">
        <x:f>I22*3600/'Assumptions'!$E$39</x:f>
        <x:v>5401440</x:v>
      </x:c>
      <x:c r="J23" s="18" t="n">
        <x:f>J22*3600/'Assumptions'!$E$39</x:f>
        <x:v>6504960</x:v>
      </x:c>
      <x:c r="K23" s="18" t="n">
        <x:f>K22*3600/'Assumptions'!$E$39</x:f>
        <x:v>9002400</x:v>
      </x:c>
      <x:c r="L23" s="18" t="n">
        <x:f>L22*3600/'Assumptions'!$E$39</x:f>
        <x:v>10454400</x:v>
      </x:c>
      <x:c r="M23" s="18" t="n">
        <x:f>M22*3600/'Assumptions'!$E$39</x:f>
        <x:v>12603360</x:v>
      </x:c>
      <x:c r="N23" s="18" t="n">
        <x:f>N22*3600/'Assumptions'!$E$39</x:f>
        <x:v>13939200</x:v>
      </x:c>
      <x:c r="O23" s="18" t="n">
        <x:f>O22*3600/'Assumptions'!$E$39</x:f>
        <x:v>16204320</x:v>
      </x:c>
      <x:c r="P23" s="18" t="n">
        <x:f>P22*3600/'Assumptions'!$E$39</x:f>
        <x:v>18004800</x:v>
      </x:c>
      <x:c r="Q23" s="18" t="n">
        <x:f>Q22*3600/'Assumptions'!$E$39</x:f>
        <x:v>17424000</x:v>
      </x:c>
    </x:row>
    <x:row r="24" ht="21" customHeight="1">
      <x:c r="A24" s="1"/>
      <x:c r="B24" s="1"/>
      <x:c r="C24" s="1" t="str">
        <x:v>Direct host-session Worker HTTP requests</x:v>
      </x:c>
      <x:c r="D24" s="18" t="n">
        <x:f>SUM(F24:Q24)</x:f>
        <x:v>117739776</x:v>
      </x:c>
      <x:c r="E24" s="18"/>
      <x:c r="F24" s="18" t="n">
        <x:f>F23*'Assumptions'!$E$40</x:f>
        <x:v>1626240</x:v>
      </x:c>
      <x:c r="G24" s="18" t="n">
        <x:f>G23*'Assumptions'!$E$40</x:f>
        <x:v>2613600</x:v>
      </x:c>
      <x:c r="H24" s="18" t="n">
        <x:f>H23*'Assumptions'!$E$40</x:f>
        <x:v>3961055.9999999995</x:v>
      </x:c>
      <x:c r="I24" s="18" t="n">
        <x:f>I23*'Assumptions'!$E$40</x:f>
        <x:v>5401440</x:v>
      </x:c>
      <x:c r="J24" s="18" t="n">
        <x:f>J23*'Assumptions'!$E$40</x:f>
        <x:v>6504960</x:v>
      </x:c>
      <x:c r="K24" s="18" t="n">
        <x:f>K23*'Assumptions'!$E$40</x:f>
        <x:v>9002400</x:v>
      </x:c>
      <x:c r="L24" s="18" t="n">
        <x:f>L23*'Assumptions'!$E$40</x:f>
        <x:v>10454400</x:v>
      </x:c>
      <x:c r="M24" s="18" t="n">
        <x:f>M23*'Assumptions'!$E$40</x:f>
        <x:v>12603360</x:v>
      </x:c>
      <x:c r="N24" s="18" t="n">
        <x:f>N23*'Assumptions'!$E$40</x:f>
        <x:v>13939200</x:v>
      </x:c>
      <x:c r="O24" s="18" t="n">
        <x:f>O23*'Assumptions'!$E$40</x:f>
        <x:v>16204320</x:v>
      </x:c>
      <x:c r="P24" s="18" t="n">
        <x:f>P23*'Assumptions'!$E$40</x:f>
        <x:v>18004800</x:v>
      </x:c>
      <x:c r="Q24" s="18" t="n">
        <x:f>Q23*'Assumptions'!$E$40</x:f>
        <x:v>17424000</x:v>
      </x:c>
    </x:row>
    <x:row r="25" ht="21" customHeight="1">
      <x:c r="A25" s="1"/>
      <x:c r="B25" s="1"/>
      <x:c r="C25" s="1" t="str">
        <x:v>Direct host-session DO requests</x:v>
      </x:c>
      <x:c r="D25" s="18" t="n">
        <x:f>SUM(F25:Q25)</x:f>
        <x:v>470959104</x:v>
      </x:c>
      <x:c r="E25" s="18"/>
      <x:c r="F25" s="18" t="n">
        <x:f>F23*'Assumptions'!$E$41</x:f>
        <x:v>6504960</x:v>
      </x:c>
      <x:c r="G25" s="18" t="n">
        <x:f>G23*'Assumptions'!$E$41</x:f>
        <x:v>10454400</x:v>
      </x:c>
      <x:c r="H25" s="18" t="n">
        <x:f>H23*'Assumptions'!$E$41</x:f>
        <x:v>15844223.999999998</x:v>
      </x:c>
      <x:c r="I25" s="18" t="n">
        <x:f>I23*'Assumptions'!$E$41</x:f>
        <x:v>21605760</x:v>
      </x:c>
      <x:c r="J25" s="18" t="n">
        <x:f>J23*'Assumptions'!$E$41</x:f>
        <x:v>26019840</x:v>
      </x:c>
      <x:c r="K25" s="18" t="n">
        <x:f>K23*'Assumptions'!$E$41</x:f>
        <x:v>36009600</x:v>
      </x:c>
      <x:c r="L25" s="18" t="n">
        <x:f>L23*'Assumptions'!$E$41</x:f>
        <x:v>41817600</x:v>
      </x:c>
      <x:c r="M25" s="18" t="n">
        <x:f>M23*'Assumptions'!$E$41</x:f>
        <x:v>50413440</x:v>
      </x:c>
      <x:c r="N25" s="18" t="n">
        <x:f>N23*'Assumptions'!$E$41</x:f>
        <x:v>55756800</x:v>
      </x:c>
      <x:c r="O25" s="18" t="n">
        <x:f>O23*'Assumptions'!$E$41</x:f>
        <x:v>64817280</x:v>
      </x:c>
      <x:c r="P25" s="18" t="n">
        <x:f>P23*'Assumptions'!$E$41</x:f>
        <x:v>72019200</x:v>
      </x:c>
      <x:c r="Q25" s="18" t="n">
        <x:f>Q23*'Assumptions'!$E$41</x:f>
        <x:v>69696000</x:v>
      </x:c>
    </x:row>
    <x:row r="26" ht="21" customHeight="1">
      <x:c r="A26" s="1"/>
      <x:c r="B26" s="1"/>
      <x:c r="C26" s="1" t="str">
        <x:v>Direct host-session SQLite reads</x:v>
      </x:c>
      <x:c r="D26" s="18" t="n">
        <x:f>SUM(F26:Q26)</x:f>
        <x:v>2354795520</x:v>
      </x:c>
      <x:c r="E26" s="18"/>
      <x:c r="F26" s="18" t="n">
        <x:f>F23*('Assumptions'!$E$43+'Assumptions'!$E$44*'Assumptions'!$E$28)</x:f>
        <x:v>32524800</x:v>
      </x:c>
      <x:c r="G26" s="18" t="n">
        <x:f>G23*('Assumptions'!$E$43+'Assumptions'!$E$44*'Assumptions'!$E$28)</x:f>
        <x:v>52272000</x:v>
      </x:c>
      <x:c r="H26" s="18" t="n">
        <x:f>H23*('Assumptions'!$E$43+'Assumptions'!$E$44*'Assumptions'!$E$28)</x:f>
        <x:v>79221119.99999999</x:v>
      </x:c>
      <x:c r="I26" s="18" t="n">
        <x:f>I23*('Assumptions'!$E$43+'Assumptions'!$E$44*'Assumptions'!$E$28)</x:f>
        <x:v>108028800</x:v>
      </x:c>
      <x:c r="J26" s="18" t="n">
        <x:f>J23*('Assumptions'!$E$43+'Assumptions'!$E$44*'Assumptions'!$E$28)</x:f>
        <x:v>130099200</x:v>
      </x:c>
      <x:c r="K26" s="18" t="n">
        <x:f>K23*('Assumptions'!$E$43+'Assumptions'!$E$44*'Assumptions'!$E$28)</x:f>
        <x:v>180048000</x:v>
      </x:c>
      <x:c r="L26" s="18" t="n">
        <x:f>L23*('Assumptions'!$E$43+'Assumptions'!$E$44*'Assumptions'!$E$28)</x:f>
        <x:v>209088000</x:v>
      </x:c>
      <x:c r="M26" s="18" t="n">
        <x:f>M23*('Assumptions'!$E$43+'Assumptions'!$E$44*'Assumptions'!$E$28)</x:f>
        <x:v>252067200</x:v>
      </x:c>
      <x:c r="N26" s="18" t="n">
        <x:f>N23*('Assumptions'!$E$43+'Assumptions'!$E$44*'Assumptions'!$E$28)</x:f>
        <x:v>278784000</x:v>
      </x:c>
      <x:c r="O26" s="18" t="n">
        <x:f>O23*('Assumptions'!$E$43+'Assumptions'!$E$44*'Assumptions'!$E$28)</x:f>
        <x:v>324086400</x:v>
      </x:c>
      <x:c r="P26" s="18" t="n">
        <x:f>P23*('Assumptions'!$E$43+'Assumptions'!$E$44*'Assumptions'!$E$28)</x:f>
        <x:v>360096000</x:v>
      </x:c>
      <x:c r="Q26" s="18" t="n">
        <x:f>Q23*('Assumptions'!$E$43+'Assumptions'!$E$44*'Assumptions'!$E$28)</x:f>
        <x:v>348480000</x:v>
      </x:c>
    </x:row>
    <x:row r="27" ht="21" customHeight="1">
      <x:c r="A27" s="1"/>
      <x:c r="B27" s="1"/>
      <x:c r="C27" s="1" t="str">
        <x:v>Active dashboard grant session-hours</x:v>
      </x:c>
      <x:c r="D27" s="18" t="n">
        <x:f>SUM(F27:Q27)</x:f>
        <x:v>0</x:v>
      </x:c>
      <x:c r="E27" s="18"/>
      <x:c r="F27" s="18" t="n">
        <x:f>F18*'Assumptions'!$E$45</x:f>
        <x:v>0</x:v>
      </x:c>
      <x:c r="G27" s="18" t="n">
        <x:f>G18*'Assumptions'!$E$45</x:f>
        <x:v>0</x:v>
      </x:c>
      <x:c r="H27" s="18" t="n">
        <x:f>H18*'Assumptions'!$E$45</x:f>
        <x:v>0</x:v>
      </x:c>
      <x:c r="I27" s="18" t="n">
        <x:f>I18*'Assumptions'!$E$45</x:f>
        <x:v>0</x:v>
      </x:c>
      <x:c r="J27" s="18" t="n">
        <x:f>J18*'Assumptions'!$E$45</x:f>
        <x:v>0</x:v>
      </x:c>
      <x:c r="K27" s="18" t="n">
        <x:f>K18*'Assumptions'!$E$45</x:f>
        <x:v>0</x:v>
      </x:c>
      <x:c r="L27" s="18" t="n">
        <x:f>L18*'Assumptions'!$E$45</x:f>
        <x:v>0</x:v>
      </x:c>
      <x:c r="M27" s="18" t="n">
        <x:f>M18*'Assumptions'!$E$45</x:f>
        <x:v>0</x:v>
      </x:c>
      <x:c r="N27" s="18" t="n">
        <x:f>N18*'Assumptions'!$E$45</x:f>
        <x:v>0</x:v>
      </x:c>
      <x:c r="O27" s="18" t="n">
        <x:f>O18*'Assumptions'!$E$45</x:f>
        <x:v>0</x:v>
      </x:c>
      <x:c r="P27" s="18" t="n">
        <x:f>P18*'Assumptions'!$E$45</x:f>
        <x:v>0</x:v>
      </x:c>
      <x:c r="Q27" s="18" t="n">
        <x:f>Q18*'Assumptions'!$E$45</x:f>
        <x:v>0</x:v>
      </x:c>
    </x:row>
    <x:row r="28" ht="21" customHeight="1">
      <x:c r="A28" s="1"/>
      <x:c r="B28" s="1"/>
      <x:c r="C28" s="1" t="str">
        <x:v>Dashboard grant revalidation calls</x:v>
      </x:c>
      <x:c r="D28" s="18" t="n">
        <x:f>SUM(F28:Q28)</x:f>
        <x:v>0</x:v>
      </x:c>
      <x:c r="E28" s="18"/>
      <x:c r="F28" s="18" t="n">
        <x:f>F27*3600/'Assumptions'!$E$46</x:f>
        <x:v>0</x:v>
      </x:c>
      <x:c r="G28" s="18" t="n">
        <x:f>G27*3600/'Assumptions'!$E$46</x:f>
        <x:v>0</x:v>
      </x:c>
      <x:c r="H28" s="18" t="n">
        <x:f>H27*3600/'Assumptions'!$E$46</x:f>
        <x:v>0</x:v>
      </x:c>
      <x:c r="I28" s="18" t="n">
        <x:f>I27*3600/'Assumptions'!$E$46</x:f>
        <x:v>0</x:v>
      </x:c>
      <x:c r="J28" s="18" t="n">
        <x:f>J27*3600/'Assumptions'!$E$46</x:f>
        <x:v>0</x:v>
      </x:c>
      <x:c r="K28" s="18" t="n">
        <x:f>K27*3600/'Assumptions'!$E$46</x:f>
        <x:v>0</x:v>
      </x:c>
      <x:c r="L28" s="18" t="n">
        <x:f>L27*3600/'Assumptions'!$E$46</x:f>
        <x:v>0</x:v>
      </x:c>
      <x:c r="M28" s="18" t="n">
        <x:f>M27*3600/'Assumptions'!$E$46</x:f>
        <x:v>0</x:v>
      </x:c>
      <x:c r="N28" s="18" t="n">
        <x:f>N27*3600/'Assumptions'!$E$46</x:f>
        <x:v>0</x:v>
      </x:c>
      <x:c r="O28" s="18" t="n">
        <x:f>O27*3600/'Assumptions'!$E$46</x:f>
        <x:v>0</x:v>
      </x:c>
      <x:c r="P28" s="18" t="n">
        <x:f>P27*3600/'Assumptions'!$E$46</x:f>
        <x:v>0</x:v>
      </x:c>
      <x:c r="Q28" s="18" t="n">
        <x:f>Q27*3600/'Assumptions'!$E$46</x:f>
        <x:v>0</x:v>
      </x:c>
    </x:row>
    <x:row r="29" ht="21" customHeight="1">
      <x:c r="A29" s="1"/>
      <x:c r="B29" s="1"/>
      <x:c r="C29" s="1" t="str">
        <x:v>Dashboard grant Worker HTTP requests</x:v>
      </x:c>
      <x:c r="D29" s="18" t="n">
        <x:f>SUM(F29:Q29)</x:f>
        <x:v>0</x:v>
      </x:c>
      <x:c r="E29" s="18"/>
      <x:c r="F29" s="18" t="n">
        <x:f>F28*'Assumptions'!$E$47</x:f>
        <x:v>0</x:v>
      </x:c>
      <x:c r="G29" s="18" t="n">
        <x:f>G28*'Assumptions'!$E$47</x:f>
        <x:v>0</x:v>
      </x:c>
      <x:c r="H29" s="18" t="n">
        <x:f>H28*'Assumptions'!$E$47</x:f>
        <x:v>0</x:v>
      </x:c>
      <x:c r="I29" s="18" t="n">
        <x:f>I28*'Assumptions'!$E$47</x:f>
        <x:v>0</x:v>
      </x:c>
      <x:c r="J29" s="18" t="n">
        <x:f>J28*'Assumptions'!$E$47</x:f>
        <x:v>0</x:v>
      </x:c>
      <x:c r="K29" s="18" t="n">
        <x:f>K28*'Assumptions'!$E$47</x:f>
        <x:v>0</x:v>
      </x:c>
      <x:c r="L29" s="18" t="n">
        <x:f>L28*'Assumptions'!$E$47</x:f>
        <x:v>0</x:v>
      </x:c>
      <x:c r="M29" s="18" t="n">
        <x:f>M28*'Assumptions'!$E$47</x:f>
        <x:v>0</x:v>
      </x:c>
      <x:c r="N29" s="18" t="n">
        <x:f>N28*'Assumptions'!$E$47</x:f>
        <x:v>0</x:v>
      </x:c>
      <x:c r="O29" s="18" t="n">
        <x:f>O28*'Assumptions'!$E$47</x:f>
        <x:v>0</x:v>
      </x:c>
      <x:c r="P29" s="18" t="n">
        <x:f>P28*'Assumptions'!$E$47</x:f>
        <x:v>0</x:v>
      </x:c>
      <x:c r="Q29" s="18" t="n">
        <x:f>Q28*'Assumptions'!$E$47</x:f>
        <x:v>0</x:v>
      </x:c>
    </x:row>
    <x:row r="30" ht="21" customHeight="1">
      <x:c r="A30" s="1"/>
      <x:c r="B30" s="1"/>
      <x:c r="C30" s="1" t="str">
        <x:v>Dashboard grant DO requests</x:v>
      </x:c>
      <x:c r="D30" s="18" t="n">
        <x:f>SUM(F30:Q30)</x:f>
        <x:v>0</x:v>
      </x:c>
      <x:c r="E30" s="18"/>
      <x:c r="F30" s="18" t="n">
        <x:f>F28*'Assumptions'!$E$48</x:f>
        <x:v>0</x:v>
      </x:c>
      <x:c r="G30" s="18" t="n">
        <x:f>G28*'Assumptions'!$E$48</x:f>
        <x:v>0</x:v>
      </x:c>
      <x:c r="H30" s="18" t="n">
        <x:f>H28*'Assumptions'!$E$48</x:f>
        <x:v>0</x:v>
      </x:c>
      <x:c r="I30" s="18" t="n">
        <x:f>I28*'Assumptions'!$E$48</x:f>
        <x:v>0</x:v>
      </x:c>
      <x:c r="J30" s="18" t="n">
        <x:f>J28*'Assumptions'!$E$48</x:f>
        <x:v>0</x:v>
      </x:c>
      <x:c r="K30" s="18" t="n">
        <x:f>K28*'Assumptions'!$E$48</x:f>
        <x:v>0</x:v>
      </x:c>
      <x:c r="L30" s="18" t="n">
        <x:f>L28*'Assumptions'!$E$48</x:f>
        <x:v>0</x:v>
      </x:c>
      <x:c r="M30" s="18" t="n">
        <x:f>M28*'Assumptions'!$E$48</x:f>
        <x:v>0</x:v>
      </x:c>
      <x:c r="N30" s="18" t="n">
        <x:f>N28*'Assumptions'!$E$48</x:f>
        <x:v>0</x:v>
      </x:c>
      <x:c r="O30" s="18" t="n">
        <x:f>O28*'Assumptions'!$E$48</x:f>
        <x:v>0</x:v>
      </x:c>
      <x:c r="P30" s="18" t="n">
        <x:f>P28*'Assumptions'!$E$48</x:f>
        <x:v>0</x:v>
      </x:c>
      <x:c r="Q30" s="18" t="n">
        <x:f>Q28*'Assumptions'!$E$48</x:f>
        <x:v>0</x:v>
      </x:c>
    </x:row>
    <x:row r="31" ht="21" customHeight="1">
      <x:c r="A31" s="1"/>
      <x:c r="B31" s="1"/>
      <x:c r="C31" s="1" t="str">
        <x:v>Dashboard grant SQLite reads</x:v>
      </x:c>
      <x:c r="D31" s="18" t="n">
        <x:f>SUM(F31:Q31)</x:f>
        <x:v>0</x:v>
      </x:c>
      <x:c r="E31" s="18"/>
      <x:c r="F31" s="18" t="n">
        <x:f>F28*'Assumptions'!$E$50</x:f>
        <x:v>0</x:v>
      </x:c>
      <x:c r="G31" s="18" t="n">
        <x:f>G28*'Assumptions'!$E$50</x:f>
        <x:v>0</x:v>
      </x:c>
      <x:c r="H31" s="18" t="n">
        <x:f>H28*'Assumptions'!$E$50</x:f>
        <x:v>0</x:v>
      </x:c>
      <x:c r="I31" s="18" t="n">
        <x:f>I28*'Assumptions'!$E$50</x:f>
        <x:v>0</x:v>
      </x:c>
      <x:c r="J31" s="18" t="n">
        <x:f>J28*'Assumptions'!$E$50</x:f>
        <x:v>0</x:v>
      </x:c>
      <x:c r="K31" s="18" t="n">
        <x:f>K28*'Assumptions'!$E$50</x:f>
        <x:v>0</x:v>
      </x:c>
      <x:c r="L31" s="18" t="n">
        <x:f>L28*'Assumptions'!$E$50</x:f>
        <x:v>0</x:v>
      </x:c>
      <x:c r="M31" s="18" t="n">
        <x:f>M28*'Assumptions'!$E$50</x:f>
        <x:v>0</x:v>
      </x:c>
      <x:c r="N31" s="18" t="n">
        <x:f>N28*'Assumptions'!$E$50</x:f>
        <x:v>0</x:v>
      </x:c>
      <x:c r="O31" s="18" t="n">
        <x:f>O28*'Assumptions'!$E$50</x:f>
        <x:v>0</x:v>
      </x:c>
      <x:c r="P31" s="18" t="n">
        <x:f>P28*'Assumptions'!$E$50</x:f>
        <x:v>0</x:v>
      </x:c>
      <x:c r="Q31" s="18" t="n">
        <x:f>Q28*'Assumptions'!$E$50</x:f>
        <x:v>0</x:v>
      </x:c>
    </x:row>
    <x:row r="32" ht="21" customHeight="1">
      <x:c r="A32" s="1"/>
      <x:c r="B32" s="1"/>
      <x:c r="C32" s="1" t="str">
        <x:v>Attempt lease renewals</x:v>
      </x:c>
      <x:c r="D32" s="18" t="n">
        <x:f>SUM(F32:Q32)</x:f>
        <x:v>6081600</x:v>
      </x:c>
      <x:c r="E32" s="18"/>
      <x:c r="F32" s="18" t="n">
        <x:f>IF('Assumptions'!$E$4=5,F19*3600/'Assumptions'!$E$67,0)</x:f>
        <x:v>84000</x:v>
      </x:c>
      <x:c r="G32" s="18" t="n">
        <x:f>IF('Assumptions'!$E$4=5,G19*3600/'Assumptions'!$E$67,0)</x:f>
        <x:v>135000</x:v>
      </x:c>
      <x:c r="H32" s="18" t="n">
        <x:f>IF('Assumptions'!$E$4=5,H19*3600/'Assumptions'!$E$67,0)</x:f>
        <x:v>204600</x:v>
      </x:c>
      <x:c r="I32" s="18" t="n">
        <x:f>IF('Assumptions'!$E$4=5,I19*3600/'Assumptions'!$E$67,0)</x:f>
        <x:v>279000</x:v>
      </x:c>
      <x:c r="J32" s="18" t="n">
        <x:f>IF('Assumptions'!$E$4=5,J19*3600/'Assumptions'!$E$67,0)</x:f>
        <x:v>336000</x:v>
      </x:c>
      <x:c r="K32" s="18" t="n">
        <x:f>IF('Assumptions'!$E$4=5,K19*3600/'Assumptions'!$E$67,0)</x:f>
        <x:v>465000</x:v>
      </x:c>
      <x:c r="L32" s="18" t="n">
        <x:f>IF('Assumptions'!$E$4=5,L19*3600/'Assumptions'!$E$67,0)</x:f>
        <x:v>540000</x:v>
      </x:c>
      <x:c r="M32" s="18" t="n">
        <x:f>IF('Assumptions'!$E$4=5,M19*3600/'Assumptions'!$E$67,0)</x:f>
        <x:v>651000</x:v>
      </x:c>
      <x:c r="N32" s="18" t="n">
        <x:f>IF('Assumptions'!$E$4=5,N19*3600/'Assumptions'!$E$67,0)</x:f>
        <x:v>720000</x:v>
      </x:c>
      <x:c r="O32" s="18" t="n">
        <x:f>IF('Assumptions'!$E$4=5,O19*3600/'Assumptions'!$E$67,0)</x:f>
        <x:v>837000</x:v>
      </x:c>
      <x:c r="P32" s="18" t="n">
        <x:f>IF('Assumptions'!$E$4=5,P19*3600/'Assumptions'!$E$67,0)</x:f>
        <x:v>930000</x:v>
      </x:c>
      <x:c r="Q32" s="18" t="n">
        <x:f>IF('Assumptions'!$E$4=5,Q19*3600/'Assumptions'!$E$67,0)</x:f>
        <x:v>900000</x:v>
      </x:c>
    </x:row>
    <x:row r="33" ht="21" customHeight="1">
      <x:c r="A33" s="1"/>
      <x:c r="B33" s="1"/>
      <x:c r="C33" s="1" t="str">
        <x:v>Trust refreshes</x:v>
      </x:c>
      <x:c r="D33" s="18" t="n">
        <x:f>SUM(F33:Q33)</x:f>
        <x:v>58869888</x:v>
      </x:c>
      <x:c r="E33" s="18"/>
      <x:c r="F33" s="18" t="n">
        <x:f>IF('Assumptions'!$E$4=5,F18*3600/'Assumptions'!$E$65,0)</x:f>
        <x:v>813120</x:v>
      </x:c>
      <x:c r="G33" s="18" t="n">
        <x:f>IF('Assumptions'!$E$4=5,G18*3600/'Assumptions'!$E$65,0)</x:f>
        <x:v>1306800</x:v>
      </x:c>
      <x:c r="H33" s="18" t="n">
        <x:f>IF('Assumptions'!$E$4=5,H18*3600/'Assumptions'!$E$65,0)</x:f>
        <x:v>1980527.9999999998</x:v>
      </x:c>
      <x:c r="I33" s="18" t="n">
        <x:f>IF('Assumptions'!$E$4=5,I18*3600/'Assumptions'!$E$65,0)</x:f>
        <x:v>2700720</x:v>
      </x:c>
      <x:c r="J33" s="18" t="n">
        <x:f>IF('Assumptions'!$E$4=5,J18*3600/'Assumptions'!$E$65,0)</x:f>
        <x:v>3252480</x:v>
      </x:c>
      <x:c r="K33" s="18" t="n">
        <x:f>IF('Assumptions'!$E$4=5,K18*3600/'Assumptions'!$E$65,0)</x:f>
        <x:v>4501200</x:v>
      </x:c>
      <x:c r="L33" s="18" t="n">
        <x:f>IF('Assumptions'!$E$4=5,L18*3600/'Assumptions'!$E$65,0)</x:f>
        <x:v>5227200</x:v>
      </x:c>
      <x:c r="M33" s="18" t="n">
        <x:f>IF('Assumptions'!$E$4=5,M18*3600/'Assumptions'!$E$65,0)</x:f>
        <x:v>6301680</x:v>
      </x:c>
      <x:c r="N33" s="18" t="n">
        <x:f>IF('Assumptions'!$E$4=5,N18*3600/'Assumptions'!$E$65,0)</x:f>
        <x:v>6969600</x:v>
      </x:c>
      <x:c r="O33" s="18" t="n">
        <x:f>IF('Assumptions'!$E$4=5,O18*3600/'Assumptions'!$E$65,0)</x:f>
        <x:v>8102160</x:v>
      </x:c>
      <x:c r="P33" s="18" t="n">
        <x:f>IF('Assumptions'!$E$4=5,P18*3600/'Assumptions'!$E$65,0)</x:f>
        <x:v>9002400</x:v>
      </x:c>
      <x:c r="Q33" s="18" t="n">
        <x:f>IF('Assumptions'!$E$4=5,Q18*3600/'Assumptions'!$E$65,0)</x:f>
        <x:v>8712000</x:v>
      </x:c>
    </x:row>
    <x:row r="34" ht="21" customHeight="1">
      <x:c r="A34" s="1"/>
      <x:c r="B34" s="1"/>
      <x:c r="C34" s="1" t="str">
        <x:v>Idle worker presence refreshes</x:v>
      </x:c>
      <x:c r="D34" s="18" t="n">
        <x:f>SUM(F34:Q34)</x:f>
        <x:v>37219392</x:v>
      </x:c>
      <x:c r="E34" s="18"/>
      <x:c r="F34" s="18" t="n">
        <x:f>IF('Assumptions'!$E$4=5,MAX(0,F18-MIN(F18,F19))*3600/'Assumptions'!$E$68,0)</x:f>
        <x:v>514080</x:v>
      </x:c>
      <x:c r="G34" s="18" t="n">
        <x:f>IF('Assumptions'!$E$4=5,MAX(0,G18-MIN(G18,G19))*3600/'Assumptions'!$E$68,0)</x:f>
        <x:v>826200</x:v>
      </x:c>
      <x:c r="H34" s="18" t="n">
        <x:f>IF('Assumptions'!$E$4=5,MAX(0,H18-MIN(H18,H19))*3600/'Assumptions'!$E$68,0)</x:f>
        <x:v>1252151.9999999998</x:v>
      </x:c>
      <x:c r="I34" s="18" t="n">
        <x:f>IF('Assumptions'!$E$4=5,MAX(0,I18-MIN(I18,I19))*3600/'Assumptions'!$E$68,0)</x:f>
        <x:v>1707480</x:v>
      </x:c>
      <x:c r="J34" s="18" t="n">
        <x:f>IF('Assumptions'!$E$4=5,MAX(0,J18-MIN(J18,J19))*3600/'Assumptions'!$E$68,0)</x:f>
        <x:v>2056320</x:v>
      </x:c>
      <x:c r="K34" s="18" t="n">
        <x:f>IF('Assumptions'!$E$4=5,MAX(0,K18-MIN(K18,K19))*3600/'Assumptions'!$E$68,0)</x:f>
        <x:v>2845800</x:v>
      </x:c>
      <x:c r="L34" s="18" t="n">
        <x:f>IF('Assumptions'!$E$4=5,MAX(0,L18-MIN(L18,L19))*3600/'Assumptions'!$E$68,0)</x:f>
        <x:v>3304800</x:v>
      </x:c>
      <x:c r="M34" s="18" t="n">
        <x:f>IF('Assumptions'!$E$4=5,MAX(0,M18-MIN(M18,M19))*3600/'Assumptions'!$E$68,0)</x:f>
        <x:v>3984120</x:v>
      </x:c>
      <x:c r="N34" s="18" t="n">
        <x:f>IF('Assumptions'!$E$4=5,MAX(0,N18-MIN(N18,N19))*3600/'Assumptions'!$E$68,0)</x:f>
        <x:v>4406400</x:v>
      </x:c>
      <x:c r="O34" s="18" t="n">
        <x:f>IF('Assumptions'!$E$4=5,MAX(0,O18-MIN(O18,O19))*3600/'Assumptions'!$E$68,0)</x:f>
        <x:v>5122440</x:v>
      </x:c>
      <x:c r="P34" s="18" t="n">
        <x:f>IF('Assumptions'!$E$4=5,MAX(0,P18-MIN(P18,P19))*3600/'Assumptions'!$E$68,0)</x:f>
        <x:v>5691600</x:v>
      </x:c>
      <x:c r="Q34" s="18" t="n">
        <x:f>IF('Assumptions'!$E$4=5,MAX(0,Q18-MIN(Q18,Q19))*3600/'Assumptions'!$E$68,0)</x:f>
        <x:v>5508000</x:v>
      </x:c>
    </x:row>
    <x:row r="35" ht="21" customHeight="1">
      <x:c r="A35" s="1"/>
      <x:c r="B35" s="1"/>
      <x:c r="C35" s="1" t="str">
        <x:v>Illustrative status/progress frames</x:v>
      </x:c>
      <x:c r="D35" s="18" t="n">
        <x:f>SUM(F35:Q35)</x:f>
        <x:v>1621760</x:v>
      </x:c>
      <x:c r="E35" s="18"/>
      <x:c r="F35" s="18" t="n">
        <x:f>IF('Assumptions'!$E$4=5,F20*'Assumptions'!$E$88*'Assumptions'!$E$52,0)</x:f>
        <x:v>22400</x:v>
      </x:c>
      <x:c r="G35" s="18" t="n">
        <x:f>IF('Assumptions'!$E$4=5,G20*'Assumptions'!$E$88*'Assumptions'!$E$52,0)</x:f>
        <x:v>36000</x:v>
      </x:c>
      <x:c r="H35" s="18" t="n">
        <x:f>IF('Assumptions'!$E$4=5,H20*'Assumptions'!$E$88*'Assumptions'!$E$52,0)</x:f>
        <x:v>54560</x:v>
      </x:c>
      <x:c r="I35" s="18" t="n">
        <x:f>IF('Assumptions'!$E$4=5,I20*'Assumptions'!$E$88*'Assumptions'!$E$52,0)</x:f>
        <x:v>74400</x:v>
      </x:c>
      <x:c r="J35" s="18" t="n">
        <x:f>IF('Assumptions'!$E$4=5,J20*'Assumptions'!$E$88*'Assumptions'!$E$52,0)</x:f>
        <x:v>89600</x:v>
      </x:c>
      <x:c r="K35" s="18" t="n">
        <x:f>IF('Assumptions'!$E$4=5,K20*'Assumptions'!$E$88*'Assumptions'!$E$52,0)</x:f>
        <x:v>124000</x:v>
      </x:c>
      <x:c r="L35" s="18" t="n">
        <x:f>IF('Assumptions'!$E$4=5,L20*'Assumptions'!$E$88*'Assumptions'!$E$52,0)</x:f>
        <x:v>144000</x:v>
      </x:c>
      <x:c r="M35" s="18" t="n">
        <x:f>IF('Assumptions'!$E$4=5,M20*'Assumptions'!$E$88*'Assumptions'!$E$52,0)</x:f>
        <x:v>173600</x:v>
      </x:c>
      <x:c r="N35" s="18" t="n">
        <x:f>IF('Assumptions'!$E$4=5,N20*'Assumptions'!$E$88*'Assumptions'!$E$52,0)</x:f>
        <x:v>192000</x:v>
      </x:c>
      <x:c r="O35" s="18" t="n">
        <x:f>IF('Assumptions'!$E$4=5,O20*'Assumptions'!$E$88*'Assumptions'!$E$52,0)</x:f>
        <x:v>223200</x:v>
      </x:c>
      <x:c r="P35" s="18" t="n">
        <x:f>IF('Assumptions'!$E$4=5,P20*'Assumptions'!$E$88*'Assumptions'!$E$52,0)</x:f>
        <x:v>248000</x:v>
      </x:c>
      <x:c r="Q35" s="18" t="n">
        <x:f>IF('Assumptions'!$E$4=5,Q20*'Assumptions'!$E$88*'Assumptions'!$E$52,0)</x:f>
        <x:v>240000</x:v>
      </x:c>
    </x:row>
    <x:row r="36" ht="21" customHeight="1">
      <x:c r="A36" s="1"/>
      <x:c r="B36" s="1"/>
      <x:c r="C36" s="1" t="str">
        <x:v>Frames on target machine-protocol path</x:v>
      </x:c>
      <x:c r="D36" s="18" t="n">
        <x:f>SUM(F36:Q36)</x:f>
        <x:v>1621760</x:v>
      </x:c>
      <x:c r="E36" s="18"/>
      <x:c r="F36" s="18" t="n">
        <x:f>F35*'Assumptions'!$E$51</x:f>
        <x:v>22400</x:v>
      </x:c>
      <x:c r="G36" s="18" t="n">
        <x:f>G35*'Assumptions'!$E$51</x:f>
        <x:v>36000</x:v>
      </x:c>
      <x:c r="H36" s="18" t="n">
        <x:f>H35*'Assumptions'!$E$51</x:f>
        <x:v>54560</x:v>
      </x:c>
      <x:c r="I36" s="18" t="n">
        <x:f>I35*'Assumptions'!$E$51</x:f>
        <x:v>74400</x:v>
      </x:c>
      <x:c r="J36" s="18" t="n">
        <x:f>J35*'Assumptions'!$E$51</x:f>
        <x:v>89600</x:v>
      </x:c>
      <x:c r="K36" s="18" t="n">
        <x:f>K35*'Assumptions'!$E$51</x:f>
        <x:v>124000</x:v>
      </x:c>
      <x:c r="L36" s="18" t="n">
        <x:f>L35*'Assumptions'!$E$51</x:f>
        <x:v>144000</x:v>
      </x:c>
      <x:c r="M36" s="18" t="n">
        <x:f>M35*'Assumptions'!$E$51</x:f>
        <x:v>173600</x:v>
      </x:c>
      <x:c r="N36" s="18" t="n">
        <x:f>N35*'Assumptions'!$E$51</x:f>
        <x:v>192000</x:v>
      </x:c>
      <x:c r="O36" s="18" t="n">
        <x:f>O35*'Assumptions'!$E$51</x:f>
        <x:v>223200</x:v>
      </x:c>
      <x:c r="P36" s="18" t="n">
        <x:f>P35*'Assumptions'!$E$51</x:f>
        <x:v>248000</x:v>
      </x:c>
      <x:c r="Q36" s="18" t="n">
        <x:f>Q35*'Assumptions'!$E$51</x:f>
        <x:v>240000</x:v>
      </x:c>
    </x:row>
    <x:row r="37" ht="21" customHeight="1">
      <x:c r="A37" s="1"/>
      <x:c r="B37" s="1"/>
      <x:c r="C37" s="1" t="str">
        <x:v>Frames on account WebSocket fallback</x:v>
      </x:c>
      <x:c r="D37" s="18" t="n">
        <x:f>SUM(F37:Q37)</x:f>
        <x:v>0</x:v>
      </x:c>
      <x:c r="E37" s="18"/>
      <x:c r="F37" s="18" t="n">
        <x:f>F35-F36</x:f>
        <x:v>0</x:v>
      </x:c>
      <x:c r="G37" s="18" t="n">
        <x:f>G35-G36</x:f>
        <x:v>0</x:v>
      </x:c>
      <x:c r="H37" s="18" t="n">
        <x:f>H35-H36</x:f>
        <x:v>0</x:v>
      </x:c>
      <x:c r="I37" s="18" t="n">
        <x:f>I35-I36</x:f>
        <x:v>0</x:v>
      </x:c>
      <x:c r="J37" s="18" t="n">
        <x:f>J35-J36</x:f>
        <x:v>0</x:v>
      </x:c>
      <x:c r="K37" s="18" t="n">
        <x:f>K35-K36</x:f>
        <x:v>0</x:v>
      </x:c>
      <x:c r="L37" s="18" t="n">
        <x:f>L35-L36</x:f>
        <x:v>0</x:v>
      </x:c>
      <x:c r="M37" s="18" t="n">
        <x:f>M35-M36</x:f>
        <x:v>0</x:v>
      </x:c>
      <x:c r="N37" s="18" t="n">
        <x:f>N35-N36</x:f>
        <x:v>0</x:v>
      </x:c>
      <x:c r="O37" s="18" t="n">
        <x:f>O35-O36</x:f>
        <x:v>0</x:v>
      </x:c>
      <x:c r="P37" s="18" t="n">
        <x:f>P35-P36</x:f>
        <x:v>0</x:v>
      </x:c>
      <x:c r="Q37" s="18" t="n">
        <x:f>Q35-Q36</x:f>
        <x:v>0</x:v>
      </x:c>
    </x:row>
    <x:row r="38" ht="21" customHeight="1">
      <x:c r="A38" s="1"/>
      <x:c r="B38" s="1"/>
      <x:c r="C38" s="1" t="str">
        <x:v>Illustrative status bytes (all routes)</x:v>
      </x:c>
      <x:c r="D38" s="18" t="n">
        <x:f>SUM(F38:Q38)</x:f>
        <x:v>1660682240</x:v>
      </x:c>
      <x:c r="E38" s="18"/>
      <x:c r="F38" s="18" t="n">
        <x:f>F35*'Assumptions'!$E$53</x:f>
        <x:v>22937600</x:v>
      </x:c>
      <x:c r="G38" s="18" t="n">
        <x:f>G35*'Assumptions'!$E$53</x:f>
        <x:v>36864000</x:v>
      </x:c>
      <x:c r="H38" s="18" t="n">
        <x:f>H35*'Assumptions'!$E$53</x:f>
        <x:v>55869440</x:v>
      </x:c>
      <x:c r="I38" s="18" t="n">
        <x:f>I35*'Assumptions'!$E$53</x:f>
        <x:v>76185600</x:v>
      </x:c>
      <x:c r="J38" s="18" t="n">
        <x:f>J35*'Assumptions'!$E$53</x:f>
        <x:v>91750400</x:v>
      </x:c>
      <x:c r="K38" s="18" t="n">
        <x:f>K35*'Assumptions'!$E$53</x:f>
        <x:v>126976000</x:v>
      </x:c>
      <x:c r="L38" s="18" t="n">
        <x:f>L35*'Assumptions'!$E$53</x:f>
        <x:v>147456000</x:v>
      </x:c>
      <x:c r="M38" s="18" t="n">
        <x:f>M35*'Assumptions'!$E$53</x:f>
        <x:v>177766400</x:v>
      </x:c>
      <x:c r="N38" s="18" t="n">
        <x:f>N35*'Assumptions'!$E$53</x:f>
        <x:v>196608000</x:v>
      </x:c>
      <x:c r="O38" s="18" t="n">
        <x:f>O35*'Assumptions'!$E$53</x:f>
        <x:v>228556800</x:v>
      </x:c>
      <x:c r="P38" s="18" t="n">
        <x:f>P35*'Assumptions'!$E$53</x:f>
        <x:v>253952000</x:v>
      </x:c>
      <x:c r="Q38" s="18" t="n">
        <x:f>Q35*'Assumptions'!$E$53</x:f>
        <x:v>245760000</x:v>
      </x:c>
    </x:row>
    <x:row r="39" ht="21" customHeight="1">
      <x:c r="A39" s="1"/>
      <x:c r="B39" s="1"/>
      <x:c r="C39" s="1" t="str">
        <x:v>Central account live status copies</x:v>
      </x:c>
      <x:c r="D39" s="18" t="n">
        <x:f>SUM(F39:Q39)</x:f>
        <x:v>0</x:v>
      </x:c>
      <x:c r="E39" s="18"/>
      <x:c r="F39" s="18" t="n">
        <x:f>F37</x:f>
        <x:v>0</x:v>
      </x:c>
      <x:c r="G39" s="18" t="n">
        <x:f>G37</x:f>
        <x:v>0</x:v>
      </x:c>
      <x:c r="H39" s="18" t="n">
        <x:f>H37</x:f>
        <x:v>0</x:v>
      </x:c>
      <x:c r="I39" s="18" t="n">
        <x:f>I37</x:f>
        <x:v>0</x:v>
      </x:c>
      <x:c r="J39" s="18" t="n">
        <x:f>J37</x:f>
        <x:v>0</x:v>
      </x:c>
      <x:c r="K39" s="18" t="n">
        <x:f>K37</x:f>
        <x:v>0</x:v>
      </x:c>
      <x:c r="L39" s="18" t="n">
        <x:f>L37</x:f>
        <x:v>0</x:v>
      </x:c>
      <x:c r="M39" s="18" t="n">
        <x:f>M37</x:f>
        <x:v>0</x:v>
      </x:c>
      <x:c r="N39" s="18" t="n">
        <x:f>N37</x:f>
        <x:v>0</x:v>
      </x:c>
      <x:c r="O39" s="18" t="n">
        <x:f>O37</x:f>
        <x:v>0</x:v>
      </x:c>
      <x:c r="P39" s="18" t="n">
        <x:f>P37</x:f>
        <x:v>0</x:v>
      </x:c>
      <x:c r="Q39" s="18" t="n">
        <x:f>Q37</x:f>
        <x:v>0</x:v>
      </x:c>
    </x:row>
    <x:row r="40" ht="21" customHeight="1">
      <x:c r="A40" s="1"/>
      <x:c r="B40" s="1"/>
      <x:c r="C40" s="1" t="str">
        <x:v>Live host-session status copies</x:v>
      </x:c>
      <x:c r="D40" s="18" t="n">
        <x:f>SUM(F40:Q40)</x:f>
        <x:v>1621760</x:v>
      </x:c>
      <x:c r="E40" s="18"/>
      <x:c r="F40" s="18" t="n">
        <x:f>F36*'Assumptions'!$E$64</x:f>
        <x:v>22400</x:v>
      </x:c>
      <x:c r="G40" s="18" t="n">
        <x:f>G36*'Assumptions'!$E$64</x:f>
        <x:v>36000</x:v>
      </x:c>
      <x:c r="H40" s="18" t="n">
        <x:f>H36*'Assumptions'!$E$64</x:f>
        <x:v>54560</x:v>
      </x:c>
      <x:c r="I40" s="18" t="n">
        <x:f>I36*'Assumptions'!$E$64</x:f>
        <x:v>74400</x:v>
      </x:c>
      <x:c r="J40" s="18" t="n">
        <x:f>J36*'Assumptions'!$E$64</x:f>
        <x:v>89600</x:v>
      </x:c>
      <x:c r="K40" s="18" t="n">
        <x:f>K36*'Assumptions'!$E$64</x:f>
        <x:v>124000</x:v>
      </x:c>
      <x:c r="L40" s="18" t="n">
        <x:f>L36*'Assumptions'!$E$64</x:f>
        <x:v>144000</x:v>
      </x:c>
      <x:c r="M40" s="18" t="n">
        <x:f>M36*'Assumptions'!$E$64</x:f>
        <x:v>173600</x:v>
      </x:c>
      <x:c r="N40" s="18" t="n">
        <x:f>N36*'Assumptions'!$E$64</x:f>
        <x:v>192000</x:v>
      </x:c>
      <x:c r="O40" s="18" t="n">
        <x:f>O36*'Assumptions'!$E$64</x:f>
        <x:v>223200</x:v>
      </x:c>
      <x:c r="P40" s="18" t="n">
        <x:f>P36*'Assumptions'!$E$64</x:f>
        <x:v>248000</x:v>
      </x:c>
      <x:c r="Q40" s="18" t="n">
        <x:f>Q36*'Assumptions'!$E$64</x:f>
        <x:v>240000</x:v>
      </x:c>
    </x:row>
    <x:row r="41" ht="21" customHeight="1">
      <x:c r="A41" s="1"/>
      <x:c r="B41" s="1"/>
      <x:c r="C41" s="1" t="str">
        <x:v>Durable event.append batches</x:v>
      </x:c>
      <x:c r="D41" s="18" t="n">
        <x:f>SUM(F41:Q41)</x:f>
        <x:v>1621760</x:v>
      </x:c>
      <x:c r="E41" s="18"/>
      <x:c r="F41" s="18" t="n">
        <x:f>F36/MAX('Assumptions'!$E$54,0.01)</x:f>
        <x:v>22400</x:v>
      </x:c>
      <x:c r="G41" s="18" t="n">
        <x:f>G36/MAX('Assumptions'!$E$54,0.01)</x:f>
        <x:v>36000</x:v>
      </x:c>
      <x:c r="H41" s="18" t="n">
        <x:f>H36/MAX('Assumptions'!$E$54,0.01)</x:f>
        <x:v>54560</x:v>
      </x:c>
      <x:c r="I41" s="18" t="n">
        <x:f>I36/MAX('Assumptions'!$E$54,0.01)</x:f>
        <x:v>74400</x:v>
      </x:c>
      <x:c r="J41" s="18" t="n">
        <x:f>J36/MAX('Assumptions'!$E$54,0.01)</x:f>
        <x:v>89600</x:v>
      </x:c>
      <x:c r="K41" s="18" t="n">
        <x:f>K36/MAX('Assumptions'!$E$54,0.01)</x:f>
        <x:v>124000</x:v>
      </x:c>
      <x:c r="L41" s="18" t="n">
        <x:f>L36/MAX('Assumptions'!$E$54,0.01)</x:f>
        <x:v>144000</x:v>
      </x:c>
      <x:c r="M41" s="18" t="n">
        <x:f>M36/MAX('Assumptions'!$E$54,0.01)</x:f>
        <x:v>173600</x:v>
      </x:c>
      <x:c r="N41" s="18" t="n">
        <x:f>N36/MAX('Assumptions'!$E$54,0.01)</x:f>
        <x:v>192000</x:v>
      </x:c>
      <x:c r="O41" s="18" t="n">
        <x:f>O36/MAX('Assumptions'!$E$54,0.01)</x:f>
        <x:v>223200</x:v>
      </x:c>
      <x:c r="P41" s="18" t="n">
        <x:f>P36/MAX('Assumptions'!$E$54,0.01)</x:f>
        <x:v>248000</x:v>
      </x:c>
      <x:c r="Q41" s="18" t="n">
        <x:f>Q36/MAX('Assumptions'!$E$54,0.01)</x:f>
        <x:v>240000</x:v>
      </x:c>
    </x:row>
    <x:row r="42" ht="21" customHeight="1">
      <x:c r="A42" s="1"/>
      <x:c r="B42" s="1"/>
      <x:c r="C42" s="1" t="str">
        <x:v>Worker HTTP requests for event.append</x:v>
      </x:c>
      <x:c r="D42" s="18" t="n">
        <x:f>SUM(F42:Q42)</x:f>
        <x:v>1621760</x:v>
      </x:c>
      <x:c r="E42" s="18"/>
      <x:c r="F42" s="18" t="n">
        <x:f>F41*'Assumptions'!$E$55</x:f>
        <x:v>22400</x:v>
      </x:c>
      <x:c r="G42" s="18" t="n">
        <x:f>G41*'Assumptions'!$E$55</x:f>
        <x:v>36000</x:v>
      </x:c>
      <x:c r="H42" s="18" t="n">
        <x:f>H41*'Assumptions'!$E$55</x:f>
        <x:v>54560</x:v>
      </x:c>
      <x:c r="I42" s="18" t="n">
        <x:f>I41*'Assumptions'!$E$55</x:f>
        <x:v>74400</x:v>
      </x:c>
      <x:c r="J42" s="18" t="n">
        <x:f>J41*'Assumptions'!$E$55</x:f>
        <x:v>89600</x:v>
      </x:c>
      <x:c r="K42" s="18" t="n">
        <x:f>K41*'Assumptions'!$E$55</x:f>
        <x:v>124000</x:v>
      </x:c>
      <x:c r="L42" s="18" t="n">
        <x:f>L41*'Assumptions'!$E$55</x:f>
        <x:v>144000</x:v>
      </x:c>
      <x:c r="M42" s="18" t="n">
        <x:f>M41*'Assumptions'!$E$55</x:f>
        <x:v>173600</x:v>
      </x:c>
      <x:c r="N42" s="18" t="n">
        <x:f>N41*'Assumptions'!$E$55</x:f>
        <x:v>192000</x:v>
      </x:c>
      <x:c r="O42" s="18" t="n">
        <x:f>O41*'Assumptions'!$E$55</x:f>
        <x:v>223200</x:v>
      </x:c>
      <x:c r="P42" s="18" t="n">
        <x:f>P41*'Assumptions'!$E$55</x:f>
        <x:v>248000</x:v>
      </x:c>
      <x:c r="Q42" s="18" t="n">
        <x:f>Q41*'Assumptions'!$E$55</x:f>
        <x:v>240000</x:v>
      </x:c>
    </x:row>
    <x:row r="43" ht="21" customHeight="1">
      <x:c r="A43" s="1"/>
      <x:c r="B43" s="1"/>
      <x:c r="C43" s="1" t="str">
        <x:v>DO requests for event.append</x:v>
      </x:c>
      <x:c r="D43" s="18" t="n">
        <x:f>SUM(F43:Q43)</x:f>
        <x:v>3243520</x:v>
      </x:c>
      <x:c r="E43" s="18"/>
      <x:c r="F43" s="18" t="n">
        <x:f>F41*'Assumptions'!$E$56</x:f>
        <x:v>44800</x:v>
      </x:c>
      <x:c r="G43" s="18" t="n">
        <x:f>G41*'Assumptions'!$E$56</x:f>
        <x:v>72000</x:v>
      </x:c>
      <x:c r="H43" s="18" t="n">
        <x:f>H41*'Assumptions'!$E$56</x:f>
        <x:v>109120</x:v>
      </x:c>
      <x:c r="I43" s="18" t="n">
        <x:f>I41*'Assumptions'!$E$56</x:f>
        <x:v>148800</x:v>
      </x:c>
      <x:c r="J43" s="18" t="n">
        <x:f>J41*'Assumptions'!$E$56</x:f>
        <x:v>179200</x:v>
      </x:c>
      <x:c r="K43" s="18" t="n">
        <x:f>K41*'Assumptions'!$E$56</x:f>
        <x:v>248000</x:v>
      </x:c>
      <x:c r="L43" s="18" t="n">
        <x:f>L41*'Assumptions'!$E$56</x:f>
        <x:v>288000</x:v>
      </x:c>
      <x:c r="M43" s="18" t="n">
        <x:f>M41*'Assumptions'!$E$56</x:f>
        <x:v>347200</x:v>
      </x:c>
      <x:c r="N43" s="18" t="n">
        <x:f>N41*'Assumptions'!$E$56</x:f>
        <x:v>384000</x:v>
      </x:c>
      <x:c r="O43" s="18" t="n">
        <x:f>O41*'Assumptions'!$E$56</x:f>
        <x:v>446400</x:v>
      </x:c>
      <x:c r="P43" s="18" t="n">
        <x:f>P41*'Assumptions'!$E$56</x:f>
        <x:v>496000</x:v>
      </x:c>
      <x:c r="Q43" s="18" t="n">
        <x:f>Q41*'Assumptions'!$E$56</x:f>
        <x:v>480000</x:v>
      </x:c>
    </x:row>
    <x:row r="44" ht="21" customHeight="1">
      <x:c r="A44" s="1"/>
      <x:c r="B44" s="1"/>
      <x:c r="C44" s="1" t="str">
        <x:v>Activity-path SQLite reads</x:v>
      </x:c>
      <x:c r="D44" s="18" t="n">
        <x:f>SUM(F44:Q44)</x:f>
        <x:v>12974080</x:v>
      </x:c>
      <x:c r="E44" s="18"/>
      <x:c r="F44" s="18" t="n">
        <x:f>F36*'Assumptions'!$E$59+F41*'Assumptions'!$E$58+F37*'Assumptions'!$E$62</x:f>
        <x:v>179200</x:v>
      </x:c>
      <x:c r="G44" s="18" t="n">
        <x:f>G36*'Assumptions'!$E$59+G41*'Assumptions'!$E$58+G37*'Assumptions'!$E$62</x:f>
        <x:v>288000</x:v>
      </x:c>
      <x:c r="H44" s="18" t="n">
        <x:f>H36*'Assumptions'!$E$59+H41*'Assumptions'!$E$58+H37*'Assumptions'!$E$62</x:f>
        <x:v>436480</x:v>
      </x:c>
      <x:c r="I44" s="18" t="n">
        <x:f>I36*'Assumptions'!$E$59+I41*'Assumptions'!$E$58+I37*'Assumptions'!$E$62</x:f>
        <x:v>595200</x:v>
      </x:c>
      <x:c r="J44" s="18" t="n">
        <x:f>J36*'Assumptions'!$E$59+J41*'Assumptions'!$E$58+J37*'Assumptions'!$E$62</x:f>
        <x:v>716800</x:v>
      </x:c>
      <x:c r="K44" s="18" t="n">
        <x:f>K36*'Assumptions'!$E$59+K41*'Assumptions'!$E$58+K37*'Assumptions'!$E$62</x:f>
        <x:v>992000</x:v>
      </x:c>
      <x:c r="L44" s="18" t="n">
        <x:f>L36*'Assumptions'!$E$59+L41*'Assumptions'!$E$58+L37*'Assumptions'!$E$62</x:f>
        <x:v>1152000</x:v>
      </x:c>
      <x:c r="M44" s="18" t="n">
        <x:f>M36*'Assumptions'!$E$59+M41*'Assumptions'!$E$58+M37*'Assumptions'!$E$62</x:f>
        <x:v>1388800</x:v>
      </x:c>
      <x:c r="N44" s="18" t="n">
        <x:f>N36*'Assumptions'!$E$59+N41*'Assumptions'!$E$58+N37*'Assumptions'!$E$62</x:f>
        <x:v>1536000</x:v>
      </x:c>
      <x:c r="O44" s="18" t="n">
        <x:f>O36*'Assumptions'!$E$59+O41*'Assumptions'!$E$58+O37*'Assumptions'!$E$62</x:f>
        <x:v>1785600</x:v>
      </x:c>
      <x:c r="P44" s="18" t="n">
        <x:f>P36*'Assumptions'!$E$59+P41*'Assumptions'!$E$58+P37*'Assumptions'!$E$62</x:f>
        <x:v>1984000</x:v>
      </x:c>
      <x:c r="Q44" s="18" t="n">
        <x:f>Q36*'Assumptions'!$E$59+Q41*'Assumptions'!$E$58+Q37*'Assumptions'!$E$62</x:f>
        <x:v>1920000</x:v>
      </x:c>
    </x:row>
    <x:row r="45" ht="21" customHeight="1">
      <x:c r="A45" s="1"/>
      <x:c r="B45" s="1"/>
      <x:c r="C45" s="1" t="str">
        <x:v>Activity-path SQLite writes</x:v>
      </x:c>
      <x:c r="D45" s="18" t="n">
        <x:f>SUM(F45:Q45)</x:f>
        <x:v>9730560</x:v>
      </x:c>
      <x:c r="E45" s="18"/>
      <x:c r="F45" s="18" t="n">
        <x:f>F36*'Assumptions'!$E$60+F41*'Assumptions'!$E$61+F37*'Assumptions'!$E$63</x:f>
        <x:v>134400</x:v>
      </x:c>
      <x:c r="G45" s="18" t="n">
        <x:f>G36*'Assumptions'!$E$60+G41*'Assumptions'!$E$61+G37*'Assumptions'!$E$63</x:f>
        <x:v>216000</x:v>
      </x:c>
      <x:c r="H45" s="18" t="n">
        <x:f>H36*'Assumptions'!$E$60+H41*'Assumptions'!$E$61+H37*'Assumptions'!$E$63</x:f>
        <x:v>327360</x:v>
      </x:c>
      <x:c r="I45" s="18" t="n">
        <x:f>I36*'Assumptions'!$E$60+I41*'Assumptions'!$E$61+I37*'Assumptions'!$E$63</x:f>
        <x:v>446400</x:v>
      </x:c>
      <x:c r="J45" s="18" t="n">
        <x:f>J36*'Assumptions'!$E$60+J41*'Assumptions'!$E$61+J37*'Assumptions'!$E$63</x:f>
        <x:v>537600</x:v>
      </x:c>
      <x:c r="K45" s="18" t="n">
        <x:f>K36*'Assumptions'!$E$60+K41*'Assumptions'!$E$61+K37*'Assumptions'!$E$63</x:f>
        <x:v>744000</x:v>
      </x:c>
      <x:c r="L45" s="18" t="n">
        <x:f>L36*'Assumptions'!$E$60+L41*'Assumptions'!$E$61+L37*'Assumptions'!$E$63</x:f>
        <x:v>864000</x:v>
      </x:c>
      <x:c r="M45" s="18" t="n">
        <x:f>M36*'Assumptions'!$E$60+M41*'Assumptions'!$E$61+M37*'Assumptions'!$E$63</x:f>
        <x:v>1041600</x:v>
      </x:c>
      <x:c r="N45" s="18" t="n">
        <x:f>N36*'Assumptions'!$E$60+N41*'Assumptions'!$E$61+N37*'Assumptions'!$E$63</x:f>
        <x:v>1152000</x:v>
      </x:c>
      <x:c r="O45" s="18" t="n">
        <x:f>O36*'Assumptions'!$E$60+O41*'Assumptions'!$E$61+O37*'Assumptions'!$E$63</x:f>
        <x:v>1339200</x:v>
      </x:c>
      <x:c r="P45" s="18" t="n">
        <x:f>P36*'Assumptions'!$E$60+P41*'Assumptions'!$E$61+P37*'Assumptions'!$E$63</x:f>
        <x:v>1488000</x:v>
      </x:c>
      <x:c r="Q45" s="18" t="n">
        <x:f>Q36*'Assumptions'!$E$60+Q41*'Assumptions'!$E$61+Q37*'Assumptions'!$E$63</x:f>
        <x:v>1440000</x:v>
      </x:c>
    </x:row>
    <x:row r="46" ht="21" customHeight="1">
      <x:c r="A46" s="1"/>
      <x:c r="B46" s="1"/>
      <x:c r="C46" s="1" t="str">
        <x:v>Incoming WebSocket messages</x:v>
      </x:c>
      <x:c r="D46" s="18" t="n">
        <x:f>SUM(F46:Q46)</x:f>
        <x:v>101149171.2</x:v>
      </x:c>
      <x:c r="E46" s="18"/>
      <x:c r="F46" s="18" t="n">
        <x:f>IF('Assumptions'!$E$4=5,(F33+F32+F34)*(1-'Assumptions'!$E$115)+F37,0)</x:f>
        <x:v>1397088</x:v>
      </x:c>
      <x:c r="G46" s="18" t="n">
        <x:f>IF('Assumptions'!$E$4=5,(G33+G32+G34)*(1-'Assumptions'!$E$115)+G37,0)</x:f>
        <x:v>2245320</x:v>
      </x:c>
      <x:c r="H46" s="18" t="n">
        <x:f>IF('Assumptions'!$E$4=5,(H33+H32+H34)*(1-'Assumptions'!$E$115)+H37,0)</x:f>
        <x:v>3402907.2</x:v>
      </x:c>
      <x:c r="I46" s="18" t="n">
        <x:f>IF('Assumptions'!$E$4=5,(I33+I32+I34)*(1-'Assumptions'!$E$115)+I37,0)</x:f>
        <x:v>4640328</x:v>
      </x:c>
      <x:c r="J46" s="18" t="n">
        <x:f>IF('Assumptions'!$E$4=5,(J33+J32+J34)*(1-'Assumptions'!$E$115)+J37,0)</x:f>
        <x:v>5588352</x:v>
      </x:c>
      <x:c r="K46" s="18" t="n">
        <x:f>IF('Assumptions'!$E$4=5,(K33+K32+K34)*(1-'Assumptions'!$E$115)+K37,0)</x:f>
        <x:v>7733880</x:v>
      </x:c>
      <x:c r="L46" s="18" t="n">
        <x:f>IF('Assumptions'!$E$4=5,(L33+L32+L34)*(1-'Assumptions'!$E$115)+L37,0)</x:f>
        <x:v>8981280</x:v>
      </x:c>
      <x:c r="M46" s="18" t="n">
        <x:f>IF('Assumptions'!$E$4=5,(M33+M32+M34)*(1-'Assumptions'!$E$115)+M37,0)</x:f>
        <x:v>10827432</x:v>
      </x:c>
      <x:c r="N46" s="18" t="n">
        <x:f>IF('Assumptions'!$E$4=5,(N33+N32+N34)*(1-'Assumptions'!$E$115)+N37,0)</x:f>
        <x:v>11975040</x:v>
      </x:c>
      <x:c r="O46" s="18" t="n">
        <x:f>IF('Assumptions'!$E$4=5,(O33+O32+O34)*(1-'Assumptions'!$E$115)+O37,0)</x:f>
        <x:v>13920984</x:v>
      </x:c>
      <x:c r="P46" s="18" t="n">
        <x:f>IF('Assumptions'!$E$4=5,(P33+P32+P34)*(1-'Assumptions'!$E$115)+P37,0)</x:f>
        <x:v>15467760</x:v>
      </x:c>
      <x:c r="Q46" s="18" t="n">
        <x:f>IF('Assumptions'!$E$4=5,(Q33+Q32+Q34)*(1-'Assumptions'!$E$115)+Q37,0)</x:f>
        <x:v>14968800</x:v>
      </x:c>
    </x:row>
    <x:row r="47" ht="21" customHeight="1">
      <x:c r="A47" s="1"/>
      <x:c r="B47" s="1"/>
      <x:c r="C47" s="1" t="str">
        <x:v>Billable WebSocket requests</x:v>
      </x:c>
      <x:c r="D47" s="18" t="n">
        <x:f>SUM(F47:Q47)</x:f>
        <x:v>5057458.56</x:v>
      </x:c>
      <x:c r="E47" s="18"/>
      <x:c r="F47" s="18" t="n">
        <x:f>IF('Assumptions'!$E$4=5,F46/'Assumptions'!$E$36,0)</x:f>
        <x:v>69854.4</x:v>
      </x:c>
      <x:c r="G47" s="18" t="n">
        <x:f>IF('Assumptions'!$E$4=5,G46/'Assumptions'!$E$36,0)</x:f>
        <x:v>112266</x:v>
      </x:c>
      <x:c r="H47" s="18" t="n">
        <x:f>IF('Assumptions'!$E$4=5,H46/'Assumptions'!$E$36,0)</x:f>
        <x:v>170145.36000000002</x:v>
      </x:c>
      <x:c r="I47" s="18" t="n">
        <x:f>IF('Assumptions'!$E$4=5,I46/'Assumptions'!$E$36,0)</x:f>
        <x:v>232016.4</x:v>
      </x:c>
      <x:c r="J47" s="18" t="n">
        <x:f>IF('Assumptions'!$E$4=5,J46/'Assumptions'!$E$36,0)</x:f>
        <x:v>279417.6</x:v>
      </x:c>
      <x:c r="K47" s="18" t="n">
        <x:f>IF('Assumptions'!$E$4=5,K46/'Assumptions'!$E$36,0)</x:f>
        <x:v>386694</x:v>
      </x:c>
      <x:c r="L47" s="18" t="n">
        <x:f>IF('Assumptions'!$E$4=5,L46/'Assumptions'!$E$36,0)</x:f>
        <x:v>449064</x:v>
      </x:c>
      <x:c r="M47" s="18" t="n">
        <x:f>IF('Assumptions'!$E$4=5,M46/'Assumptions'!$E$36,0)</x:f>
        <x:v>541371.6</x:v>
      </x:c>
      <x:c r="N47" s="18" t="n">
        <x:f>IF('Assumptions'!$E$4=5,N46/'Assumptions'!$E$36,0)</x:f>
        <x:v>598752</x:v>
      </x:c>
      <x:c r="O47" s="18" t="n">
        <x:f>IF('Assumptions'!$E$4=5,O46/'Assumptions'!$E$36,0)</x:f>
        <x:v>696049.2</x:v>
      </x:c>
      <x:c r="P47" s="18" t="n">
        <x:f>IF('Assumptions'!$E$4=5,P46/'Assumptions'!$E$36,0)</x:f>
        <x:v>773388</x:v>
      </x:c>
      <x:c r="Q47" s="18" t="n">
        <x:f>IF('Assumptions'!$E$4=5,Q46/'Assumptions'!$E$36,0)</x:f>
        <x:v>748440</x:v>
      </x:c>
    </x:row>
    <x:row r="48" ht="21" customHeight="1">
      <x:c r="A48" s="1"/>
      <x:c r="B48" s="1"/>
      <x:c r="C48" s="1" t="str">
        <x:v>HTTP fallback requests</x:v>
      </x:c>
      <x:c r="D48" s="18" t="n">
        <x:f>SUM(F48:Q48)</x:f>
        <x:v>7064386.56</x:v>
      </x:c>
      <x:c r="E48" s="18"/>
      <x:c r="F48" s="18" t="n">
        <x:f>IF('Assumptions'!$E$4=5,F18*'Assumptions'!$E$115*'Assumptions'!$E$116,0)</x:f>
        <x:v>97574.40000000001</x:v>
      </x:c>
      <x:c r="G48" s="18" t="n">
        <x:f>IF('Assumptions'!$E$4=5,G18*'Assumptions'!$E$115*'Assumptions'!$E$116,0)</x:f>
        <x:v>156816</x:v>
      </x:c>
      <x:c r="H48" s="18" t="n">
        <x:f>IF('Assumptions'!$E$4=5,H18*'Assumptions'!$E$115*'Assumptions'!$E$116,0)</x:f>
        <x:v>237663.36</x:v>
      </x:c>
      <x:c r="I48" s="18" t="n">
        <x:f>IF('Assumptions'!$E$4=5,I18*'Assumptions'!$E$115*'Assumptions'!$E$116,0)</x:f>
        <x:v>324086.4</x:v>
      </x:c>
      <x:c r="J48" s="18" t="n">
        <x:f>IF('Assumptions'!$E$4=5,J18*'Assumptions'!$E$115*'Assumptions'!$E$116,0)</x:f>
        <x:v>390297.60000000003</x:v>
      </x:c>
      <x:c r="K48" s="18" t="n">
        <x:f>IF('Assumptions'!$E$4=5,K18*'Assumptions'!$E$115*'Assumptions'!$E$116,0)</x:f>
        <x:v>540144</x:v>
      </x:c>
      <x:c r="L48" s="18" t="n">
        <x:f>IF('Assumptions'!$E$4=5,L18*'Assumptions'!$E$115*'Assumptions'!$E$116,0)</x:f>
        <x:v>627264</x:v>
      </x:c>
      <x:c r="M48" s="18" t="n">
        <x:f>IF('Assumptions'!$E$4=5,M18*'Assumptions'!$E$115*'Assumptions'!$E$116,0)</x:f>
        <x:v>756201.6</x:v>
      </x:c>
      <x:c r="N48" s="18" t="n">
        <x:f>IF('Assumptions'!$E$4=5,N18*'Assumptions'!$E$115*'Assumptions'!$E$116,0)</x:f>
        <x:v>836352.0000000001</x:v>
      </x:c>
      <x:c r="O48" s="18" t="n">
        <x:f>IF('Assumptions'!$E$4=5,O18*'Assumptions'!$E$115*'Assumptions'!$E$116,0)</x:f>
        <x:v>972259.2000000001</x:v>
      </x:c>
      <x:c r="P48" s="18" t="n">
        <x:f>IF('Assumptions'!$E$4=5,P18*'Assumptions'!$E$115*'Assumptions'!$E$116,0)</x:f>
        <x:v>1080288</x:v>
      </x:c>
      <x:c r="Q48" s="18" t="n">
        <x:f>IF('Assumptions'!$E$4=5,Q18*'Assumptions'!$E$115*'Assumptions'!$E$116,0)</x:f>
        <x:v>1045440</x:v>
      </x:c>
    </x:row>
    <x:row r="49" ht="21" customHeight="1">
      <x:c r="A49" s="1"/>
      <x:c r="B49" s="1"/>
      <x:c r="C49" s="1" t="str">
        <x:v>Legacy HTTP requests during overlap</x:v>
      </x:c>
      <x:c r="D49" s="18" t="n">
        <x:f>SUM(F49:Q49)</x:f>
        <x:v>0</x:v>
      </x:c>
      <x:c r="E49" s="18"/>
      <x:c r="F49" s="18" t="n">
        <x:f>IF('Assumptions'!$E$4=5,F11*'Assumptions'!$G$13*'Assumptions'!$E$118,0)</x:f>
        <x:v>0</x:v>
      </x:c>
      <x:c r="G49" s="18" t="n">
        <x:f>IF('Assumptions'!$E$4=5,G11*'Assumptions'!$G$13*'Assumptions'!$E$118,0)</x:f>
        <x:v>0</x:v>
      </x:c>
      <x:c r="H49" s="18" t="n">
        <x:f>IF('Assumptions'!$E$4=5,H11*'Assumptions'!$G$13*'Assumptions'!$E$118,0)</x:f>
        <x:v>0</x:v>
      </x:c>
      <x:c r="I49" s="18" t="n">
        <x:f>IF('Assumptions'!$E$4=5,I11*'Assumptions'!$G$13*'Assumptions'!$E$118,0)</x:f>
        <x:v>0</x:v>
      </x:c>
      <x:c r="J49" s="18" t="n">
        <x:f>IF('Assumptions'!$E$4=5,J11*'Assumptions'!$G$13*'Assumptions'!$E$118,0)</x:f>
        <x:v>0</x:v>
      </x:c>
      <x:c r="K49" s="18" t="n">
        <x:f>IF('Assumptions'!$E$4=5,K11*'Assumptions'!$G$13*'Assumptions'!$E$118,0)</x:f>
        <x:v>0</x:v>
      </x:c>
      <x:c r="L49" s="18" t="n">
        <x:f>IF('Assumptions'!$E$4=5,L11*'Assumptions'!$G$13*'Assumptions'!$E$118,0)</x:f>
        <x:v>0</x:v>
      </x:c>
      <x:c r="M49" s="18" t="n">
        <x:f>IF('Assumptions'!$E$4=5,M11*'Assumptions'!$G$13*'Assumptions'!$E$118,0)</x:f>
        <x:v>0</x:v>
      </x:c>
      <x:c r="N49" s="18" t="n">
        <x:f>IF('Assumptions'!$E$4=5,N11*'Assumptions'!$G$13*'Assumptions'!$E$118,0)</x:f>
        <x:v>0</x:v>
      </x:c>
      <x:c r="O49" s="18" t="n">
        <x:f>IF('Assumptions'!$E$4=5,O11*'Assumptions'!$G$13*'Assumptions'!$E$118,0)</x:f>
        <x:v>0</x:v>
      </x:c>
      <x:c r="P49" s="18" t="n">
        <x:f>IF('Assumptions'!$E$4=5,P11*'Assumptions'!$G$13*'Assumptions'!$E$118,0)</x:f>
        <x:v>0</x:v>
      </x:c>
      <x:c r="Q49" s="18" t="n">
        <x:f>IF('Assumptions'!$E$4=5,Q11*'Assumptions'!$G$13*'Assumptions'!$E$118,0)</x:f>
        <x:v>0</x:v>
      </x:c>
    </x:row>
    <x:row r="50" ht="21" customHeight="1">
      <x:c r="A50" s="1"/>
      <x:c r="B50" s="1"/>
      <x:c r="C50" s="1" t="str">
        <x:v>Legacy object requests during overlap</x:v>
      </x:c>
      <x:c r="D50" s="18" t="n">
        <x:f>SUM(F50:Q50)</x:f>
        <x:v>0</x:v>
      </x:c>
      <x:c r="E50" s="18"/>
      <x:c r="F50" s="18" t="n">
        <x:f>IF('Assumptions'!$E$4=5,F11*'Assumptions'!$G$14*'Assumptions'!$E$118,0)</x:f>
        <x:v>0</x:v>
      </x:c>
      <x:c r="G50" s="18" t="n">
        <x:f>IF('Assumptions'!$E$4=5,G11*'Assumptions'!$G$14*'Assumptions'!$E$118,0)</x:f>
        <x:v>0</x:v>
      </x:c>
      <x:c r="H50" s="18" t="n">
        <x:f>IF('Assumptions'!$E$4=5,H11*'Assumptions'!$G$14*'Assumptions'!$E$118,0)</x:f>
        <x:v>0</x:v>
      </x:c>
      <x:c r="I50" s="18" t="n">
        <x:f>IF('Assumptions'!$E$4=5,I11*'Assumptions'!$G$14*'Assumptions'!$E$118,0)</x:f>
        <x:v>0</x:v>
      </x:c>
      <x:c r="J50" s="18" t="n">
        <x:f>IF('Assumptions'!$E$4=5,J11*'Assumptions'!$G$14*'Assumptions'!$E$118,0)</x:f>
        <x:v>0</x:v>
      </x:c>
      <x:c r="K50" s="18" t="n">
        <x:f>IF('Assumptions'!$E$4=5,K11*'Assumptions'!$G$14*'Assumptions'!$E$118,0)</x:f>
        <x:v>0</x:v>
      </x:c>
      <x:c r="L50" s="18" t="n">
        <x:f>IF('Assumptions'!$E$4=5,L11*'Assumptions'!$G$14*'Assumptions'!$E$118,0)</x:f>
        <x:v>0</x:v>
      </x:c>
      <x:c r="M50" s="18" t="n">
        <x:f>IF('Assumptions'!$E$4=5,M11*'Assumptions'!$G$14*'Assumptions'!$E$118,0)</x:f>
        <x:v>0</x:v>
      </x:c>
      <x:c r="N50" s="18" t="n">
        <x:f>IF('Assumptions'!$E$4=5,N11*'Assumptions'!$G$14*'Assumptions'!$E$118,0)</x:f>
        <x:v>0</x:v>
      </x:c>
      <x:c r="O50" s="18" t="n">
        <x:f>IF('Assumptions'!$E$4=5,O11*'Assumptions'!$G$14*'Assumptions'!$E$118,0)</x:f>
        <x:v>0</x:v>
      </x:c>
      <x:c r="P50" s="18" t="n">
        <x:f>IF('Assumptions'!$E$4=5,P11*'Assumptions'!$G$14*'Assumptions'!$E$118,0)</x:f>
        <x:v>0</x:v>
      </x:c>
      <x:c r="Q50" s="18" t="n">
        <x:f>IF('Assumptions'!$E$4=5,Q11*'Assumptions'!$G$14*'Assumptions'!$E$118,0)</x:f>
        <x:v>0</x:v>
      </x:c>
    </x:row>
    <x:row r="51" ht="21" customHeight="1">
      <x:c r="A51" s="1"/>
      <x:c r="B51" s="1"/>
      <x:c r="C51" s="1" t="str">
        <x:v>Legacy SQLite reads during overlap</x:v>
      </x:c>
      <x:c r="D51" s="18" t="n">
        <x:f>SUM(F51:Q51)</x:f>
        <x:v>0</x:v>
      </x:c>
      <x:c r="E51" s="18"/>
      <x:c r="F51" s="18" t="n">
        <x:f>IF('Assumptions'!$E$4=5,F11*'Assumptions'!$G$15*'Assumptions'!$E$118,0)</x:f>
        <x:v>0</x:v>
      </x:c>
      <x:c r="G51" s="18" t="n">
        <x:f>IF('Assumptions'!$E$4=5,G11*'Assumptions'!$G$15*'Assumptions'!$E$118,0)</x:f>
        <x:v>0</x:v>
      </x:c>
      <x:c r="H51" s="18" t="n">
        <x:f>IF('Assumptions'!$E$4=5,H11*'Assumptions'!$G$15*'Assumptions'!$E$118,0)</x:f>
        <x:v>0</x:v>
      </x:c>
      <x:c r="I51" s="18" t="n">
        <x:f>IF('Assumptions'!$E$4=5,I11*'Assumptions'!$G$15*'Assumptions'!$E$118,0)</x:f>
        <x:v>0</x:v>
      </x:c>
      <x:c r="J51" s="18" t="n">
        <x:f>IF('Assumptions'!$E$4=5,J11*'Assumptions'!$G$15*'Assumptions'!$E$118,0)</x:f>
        <x:v>0</x:v>
      </x:c>
      <x:c r="K51" s="18" t="n">
        <x:f>IF('Assumptions'!$E$4=5,K11*'Assumptions'!$G$15*'Assumptions'!$E$118,0)</x:f>
        <x:v>0</x:v>
      </x:c>
      <x:c r="L51" s="18" t="n">
        <x:f>IF('Assumptions'!$E$4=5,L11*'Assumptions'!$G$15*'Assumptions'!$E$118,0)</x:f>
        <x:v>0</x:v>
      </x:c>
      <x:c r="M51" s="18" t="n">
        <x:f>IF('Assumptions'!$E$4=5,M11*'Assumptions'!$G$15*'Assumptions'!$E$118,0)</x:f>
        <x:v>0</x:v>
      </x:c>
      <x:c r="N51" s="18" t="n">
        <x:f>IF('Assumptions'!$E$4=5,N11*'Assumptions'!$G$15*'Assumptions'!$E$118,0)</x:f>
        <x:v>0</x:v>
      </x:c>
      <x:c r="O51" s="18" t="n">
        <x:f>IF('Assumptions'!$E$4=5,O11*'Assumptions'!$G$15*'Assumptions'!$E$118,0)</x:f>
        <x:v>0</x:v>
      </x:c>
      <x:c r="P51" s="18" t="n">
        <x:f>IF('Assumptions'!$E$4=5,P11*'Assumptions'!$G$15*'Assumptions'!$E$118,0)</x:f>
        <x:v>0</x:v>
      </x:c>
      <x:c r="Q51" s="18" t="n">
        <x:f>IF('Assumptions'!$E$4=5,Q11*'Assumptions'!$G$15*'Assumptions'!$E$118,0)</x:f>
        <x:v>0</x:v>
      </x:c>
    </x:row>
    <x:row r="52" ht="21" customHeight="1">
      <x:c r="A52" s="1"/>
      <x:c r="B52" s="1"/>
      <x:c r="C52" s="1" t="str">
        <x:v>Legacy SQLite writes during overlap</x:v>
      </x:c>
      <x:c r="D52" s="18" t="n">
        <x:f>SUM(F52:Q52)</x:f>
        <x:v>0</x:v>
      </x:c>
      <x:c r="E52" s="18"/>
      <x:c r="F52" s="18" t="n">
        <x:f>IF('Assumptions'!$E$4=5,F11*'Assumptions'!$G$16*'Assumptions'!$E$118,0)</x:f>
        <x:v>0</x:v>
      </x:c>
      <x:c r="G52" s="18" t="n">
        <x:f>IF('Assumptions'!$E$4=5,G11*'Assumptions'!$G$16*'Assumptions'!$E$118,0)</x:f>
        <x:v>0</x:v>
      </x:c>
      <x:c r="H52" s="18" t="n">
        <x:f>IF('Assumptions'!$E$4=5,H11*'Assumptions'!$G$16*'Assumptions'!$E$118,0)</x:f>
        <x:v>0</x:v>
      </x:c>
      <x:c r="I52" s="18" t="n">
        <x:f>IF('Assumptions'!$E$4=5,I11*'Assumptions'!$G$16*'Assumptions'!$E$118,0)</x:f>
        <x:v>0</x:v>
      </x:c>
      <x:c r="J52" s="18" t="n">
        <x:f>IF('Assumptions'!$E$4=5,J11*'Assumptions'!$G$16*'Assumptions'!$E$118,0)</x:f>
        <x:v>0</x:v>
      </x:c>
      <x:c r="K52" s="18" t="n">
        <x:f>IF('Assumptions'!$E$4=5,K11*'Assumptions'!$G$16*'Assumptions'!$E$118,0)</x:f>
        <x:v>0</x:v>
      </x:c>
      <x:c r="L52" s="18" t="n">
        <x:f>IF('Assumptions'!$E$4=5,L11*'Assumptions'!$G$16*'Assumptions'!$E$118,0)</x:f>
        <x:v>0</x:v>
      </x:c>
      <x:c r="M52" s="18" t="n">
        <x:f>IF('Assumptions'!$E$4=5,M11*'Assumptions'!$G$16*'Assumptions'!$E$118,0)</x:f>
        <x:v>0</x:v>
      </x:c>
      <x:c r="N52" s="18" t="n">
        <x:f>IF('Assumptions'!$E$4=5,N11*'Assumptions'!$G$16*'Assumptions'!$E$118,0)</x:f>
        <x:v>0</x:v>
      </x:c>
      <x:c r="O52" s="18" t="n">
        <x:f>IF('Assumptions'!$E$4=5,O11*'Assumptions'!$G$16*'Assumptions'!$E$118,0)</x:f>
        <x:v>0</x:v>
      </x:c>
      <x:c r="P52" s="18" t="n">
        <x:f>IF('Assumptions'!$E$4=5,P11*'Assumptions'!$G$16*'Assumptions'!$E$118,0)</x:f>
        <x:v>0</x:v>
      </x:c>
      <x:c r="Q52" s="18" t="n">
        <x:f>IF('Assumptions'!$E$4=5,Q11*'Assumptions'!$G$16*'Assumptions'!$E$118,0)</x:f>
        <x:v>0</x:v>
      </x:c>
    </x:row>
    <x:row r="53" ht="21" customHeight="1">
      <x:c r="A53" s="1"/>
      <x:c r="B53" s="1"/>
      <x:c r="C53" s="1" t="str">
        <x:v>Legacy object seconds during overlap</x:v>
      </x:c>
      <x:c r="D53" s="18" t="n">
        <x:f>SUM(F53:Q53)</x:f>
        <x:v>0</x:v>
      </x:c>
      <x:c r="E53" s="18"/>
      <x:c r="F53" s="18" t="n">
        <x:f>IF('Assumptions'!$E$4=5,F7*'Assumptions'!$I$24*F9*8*3600*'Assumptions'!$G$17*'Assumptions'!$E$118,0)</x:f>
        <x:v>0</x:v>
      </x:c>
      <x:c r="G53" s="18" t="n">
        <x:f>IF('Assumptions'!$E$4=5,G7*'Assumptions'!$I$24*G9*8*3600*'Assumptions'!$G$17*'Assumptions'!$E$118,0)</x:f>
        <x:v>0</x:v>
      </x:c>
      <x:c r="H53" s="18" t="n">
        <x:f>IF('Assumptions'!$E$4=5,H7*'Assumptions'!$I$24*H9*8*3600*'Assumptions'!$G$17*'Assumptions'!$E$118,0)</x:f>
        <x:v>0</x:v>
      </x:c>
      <x:c r="I53" s="18" t="n">
        <x:f>IF('Assumptions'!$E$4=5,I7*'Assumptions'!$I$24*I9*8*3600*'Assumptions'!$G$17*'Assumptions'!$E$118,0)</x:f>
        <x:v>0</x:v>
      </x:c>
      <x:c r="J53" s="18" t="n">
        <x:f>IF('Assumptions'!$E$4=5,J7*'Assumptions'!$I$24*J9*8*3600*'Assumptions'!$G$17*'Assumptions'!$E$118,0)</x:f>
        <x:v>0</x:v>
      </x:c>
      <x:c r="K53" s="18" t="n">
        <x:f>IF('Assumptions'!$E$4=5,K7*'Assumptions'!$I$24*K9*8*3600*'Assumptions'!$G$17*'Assumptions'!$E$118,0)</x:f>
        <x:v>0</x:v>
      </x:c>
      <x:c r="L53" s="18" t="n">
        <x:f>IF('Assumptions'!$E$4=5,L7*'Assumptions'!$I$24*L9*8*3600*'Assumptions'!$G$17*'Assumptions'!$E$118,0)</x:f>
        <x:v>0</x:v>
      </x:c>
      <x:c r="M53" s="18" t="n">
        <x:f>IF('Assumptions'!$E$4=5,M7*'Assumptions'!$I$24*M9*8*3600*'Assumptions'!$G$17*'Assumptions'!$E$118,0)</x:f>
        <x:v>0</x:v>
      </x:c>
      <x:c r="N53" s="18" t="n">
        <x:f>IF('Assumptions'!$E$4=5,N7*'Assumptions'!$I$24*N9*8*3600*'Assumptions'!$G$17*'Assumptions'!$E$118,0)</x:f>
        <x:v>0</x:v>
      </x:c>
      <x:c r="O53" s="18" t="n">
        <x:f>IF('Assumptions'!$E$4=5,O7*'Assumptions'!$I$24*O9*8*3600*'Assumptions'!$G$17*'Assumptions'!$E$118,0)</x:f>
        <x:v>0</x:v>
      </x:c>
      <x:c r="P53" s="18" t="n">
        <x:f>IF('Assumptions'!$E$4=5,P7*'Assumptions'!$I$24*P9*8*3600*'Assumptions'!$G$17*'Assumptions'!$E$118,0)</x:f>
        <x:v>0</x:v>
      </x:c>
      <x:c r="Q53" s="18" t="n">
        <x:f>IF('Assumptions'!$E$4=5,Q7*'Assumptions'!$I$24*Q9*8*3600*'Assumptions'!$G$17*'Assumptions'!$E$118,0)</x:f>
        <x:v>0</x:v>
      </x:c>
    </x:row>
    <x:row r="54" ht="21" customHeight="1">
      <x:c r="A54" s="1"/>
      <x:c r="B54" s="1"/>
      <x:c r="C54" s="1" t="str">
        <x:v>Opening terminal records</x:v>
      </x:c>
      <x:c r="D54" s="18" t="n">
        <x:f>F54</x:f>
        <x:v>100000</x:v>
      </x:c>
      <x:c r="E54" s="18"/>
      <x:c r="F54" s="18" t="n">
        <x:f>IF('Assumptions'!$E$4=5,F10*'Assumptions'!$E$76,0)</x:f>
        <x:v>100000</x:v>
      </x:c>
      <x:c r="G54" s="18" t="n">
        <x:f>IF('Assumptions'!$E$4=5,F55+MAX(0,G10-F10)*'Assumptions'!$E$76,0)</x:f>
        <x:v>150700</x:v>
      </x:c>
      <x:c r="H54" s="18" t="n">
        <x:f>IF('Assumptions'!$E$4=5,G55+MAX(0,H10-G10)*'Assumptions'!$E$76,0)</x:f>
        <x:v>221825</x:v>
      </x:c>
      <x:c r="I54" s="18" t="n">
        <x:f>IF('Assumptions'!$E$4=5,H55+MAX(0,I10-H10)*'Assumptions'!$E$76,0)</x:f>
        <x:v>303530</x:v>
      </x:c>
      <x:c r="J54" s="18" t="n">
        <x:f>IF('Assumptions'!$E$4=5,I55+MAX(0,J10-I10)*'Assumptions'!$E$76,0)</x:f>
        <x:v>405855</x:v>
      </x:c>
      <x:c r="K54" s="18" t="n">
        <x:f>IF('Assumptions'!$E$4=5,J55+MAX(0,K10-J10)*'Assumptions'!$E$76,0)</x:f>
        <x:v>508655</x:v>
      </x:c>
      <x:c r="L54" s="18" t="n">
        <x:f>IF('Assumptions'!$E$4=5,K55+MAX(0,L10-K10)*'Assumptions'!$E$76,0)</x:f>
        <x:v>612530</x:v>
      </x:c>
      <x:c r="M54" s="18" t="n">
        <x:f>IF('Assumptions'!$E$4=5,L55+MAX(0,M10-L10)*'Assumptions'!$E$76,0)</x:f>
        <x:v>717030</x:v>
      </x:c>
      <x:c r="N54" s="18" t="n">
        <x:f>IF('Assumptions'!$E$4=5,M55+MAX(0,N10-M10)*'Assumptions'!$E$76,0)</x:f>
        <x:v>822455</x:v>
      </x:c>
      <x:c r="O54" s="18" t="n">
        <x:f>IF('Assumptions'!$E$4=5,N55+MAX(0,O10-N10)*'Assumptions'!$E$76,0)</x:f>
        <x:v>928455</x:v>
      </x:c>
      <x:c r="P54" s="18" t="n">
        <x:f>IF('Assumptions'!$E$4=5,O55+MAX(0,P10-O10)*'Assumptions'!$E$76,0)</x:f>
        <x:v>1035430</x:v>
      </x:c>
      <x:c r="Q54" s="18" t="n">
        <x:f>IF('Assumptions'!$E$4=5,P55+MAX(0,Q10-P10)*'Assumptions'!$E$76,0)</x:f>
        <x:v>1043180</x:v>
      </x:c>
    </x:row>
    <x:row r="55" ht="21" customHeight="1">
      <x:c r="A55" s="1"/>
      <x:c r="B55" s="1"/>
      <x:c r="C55" s="1" t="str">
        <x:v>Closing terminal records</x:v>
      </x:c>
      <x:c r="D55" s="18" t="n">
        <x:f>Q55</x:f>
        <x:v>1050680</x:v>
      </x:c>
      <x:c r="E55" s="18"/>
      <x:c r="F55" s="18" t="n">
        <x:f>F54+F20</x:f>
        <x:v>100700</x:v>
      </x:c>
      <x:c r="G55" s="18" t="n">
        <x:f>G54+G20</x:f>
        <x:v>151825</x:v>
      </x:c>
      <x:c r="H55" s="18" t="n">
        <x:f>H54+H20</x:f>
        <x:v>223530</x:v>
      </x:c>
      <x:c r="I55" s="18" t="n">
        <x:f>I54+I20</x:f>
        <x:v>305855</x:v>
      </x:c>
      <x:c r="J55" s="18" t="n">
        <x:f>J54+J20</x:f>
        <x:v>408655</x:v>
      </x:c>
      <x:c r="K55" s="18" t="n">
        <x:f>K54+K20</x:f>
        <x:v>512530</x:v>
      </x:c>
      <x:c r="L55" s="18" t="n">
        <x:f>L54+L20</x:f>
        <x:v>617030</x:v>
      </x:c>
      <x:c r="M55" s="18" t="n">
        <x:f>M54+M20</x:f>
        <x:v>722455</x:v>
      </x:c>
      <x:c r="N55" s="18" t="n">
        <x:f>N54+N20</x:f>
        <x:v>828455</x:v>
      </x:c>
      <x:c r="O55" s="18" t="n">
        <x:f>O54+O20</x:f>
        <x:v>935430</x:v>
      </x:c>
      <x:c r="P55" s="18" t="n">
        <x:f>P54+P20</x:f>
        <x:v>1043180</x:v>
      </x:c>
      <x:c r="Q55" s="18" t="n">
        <x:f>Q54+Q20</x:f>
        <x:v>1050680</x:v>
      </x:c>
    </x:row>
    <x:row r="56" ht="21" customHeight="1">
      <x:c r="A56" s="1"/>
      <x:c r="B56" s="1"/>
      <x:c r="C56" s="1" t="str">
        <x:v>Retained SQLite result reports</x:v>
      </x:c>
      <x:c r="D56" s="18" t="n">
        <x:f>SUM(F56:Q56)</x:f>
        <x:v>5068</x:v>
      </x:c>
      <x:c r="E56" s="18"/>
      <x:c r="F56" s="18" t="n">
        <x:f>IF('Assumptions'!$E$4=5,F20*'Assumptions'!$E$77,0)</x:f>
        <x:v>70</x:v>
      </x:c>
      <x:c r="G56" s="18" t="n">
        <x:f>IF('Assumptions'!$E$4=5,G20*'Assumptions'!$E$77,0)</x:f>
        <x:v>112.5</x:v>
      </x:c>
      <x:c r="H56" s="18" t="n">
        <x:f>IF('Assumptions'!$E$4=5,H20*'Assumptions'!$E$77,0)</x:f>
        <x:v>170.5</x:v>
      </x:c>
      <x:c r="I56" s="18" t="n">
        <x:f>IF('Assumptions'!$E$4=5,I20*'Assumptions'!$E$77,0)</x:f>
        <x:v>232.5</x:v>
      </x:c>
      <x:c r="J56" s="18" t="n">
        <x:f>IF('Assumptions'!$E$4=5,J20*'Assumptions'!$E$77,0)</x:f>
        <x:v>280</x:v>
      </x:c>
      <x:c r="K56" s="18" t="n">
        <x:f>IF('Assumptions'!$E$4=5,K20*'Assumptions'!$E$77,0)</x:f>
        <x:v>387.5</x:v>
      </x:c>
      <x:c r="L56" s="18" t="n">
        <x:f>IF('Assumptions'!$E$4=5,L20*'Assumptions'!$E$77,0)</x:f>
        <x:v>450</x:v>
      </x:c>
      <x:c r="M56" s="18" t="n">
        <x:f>IF('Assumptions'!$E$4=5,M20*'Assumptions'!$E$77,0)</x:f>
        <x:v>542.5</x:v>
      </x:c>
      <x:c r="N56" s="18" t="n">
        <x:f>IF('Assumptions'!$E$4=5,N20*'Assumptions'!$E$77,0)</x:f>
        <x:v>600</x:v>
      </x:c>
      <x:c r="O56" s="18" t="n">
        <x:f>IF('Assumptions'!$E$4=5,O20*'Assumptions'!$E$77,0)</x:f>
        <x:v>697.5</x:v>
      </x:c>
      <x:c r="P56" s="18" t="n">
        <x:f>IF('Assumptions'!$E$4=5,P20*'Assumptions'!$E$77,0)</x:f>
        <x:v>775</x:v>
      </x:c>
      <x:c r="Q56" s="18" t="n">
        <x:f>IF('Assumptions'!$E$4=5,Q20*'Assumptions'!$E$77,0)</x:f>
        <x:v>750</x:v>
      </x:c>
    </x:row>
    <x:row r="57" ht="21" customHeight="1">
      <x:c r="A57" s="1"/>
      <x:c r="B57" s="1"/>
      <x:c r="C57" s="1" t="str">
        <x:v>Archived activity jobs</x:v>
      </x:c>
      <x:c r="D57" s="18" t="n">
        <x:f>SUM(F57:Q57)</x:f>
        <x:v>50680</x:v>
      </x:c>
      <x:c r="E57" s="18"/>
      <x:c r="F57" s="18" t="n">
        <x:f>IF('Assumptions'!$E$4=5,F20*'Assumptions'!$E$88,0)</x:f>
        <x:v>700</x:v>
      </x:c>
      <x:c r="G57" s="18" t="n">
        <x:f>IF('Assumptions'!$E$4=5,G20*'Assumptions'!$E$88,0)</x:f>
        <x:v>1125</x:v>
      </x:c>
      <x:c r="H57" s="18" t="n">
        <x:f>IF('Assumptions'!$E$4=5,H20*'Assumptions'!$E$88,0)</x:f>
        <x:v>1705</x:v>
      </x:c>
      <x:c r="I57" s="18" t="n">
        <x:f>IF('Assumptions'!$E$4=5,I20*'Assumptions'!$E$88,0)</x:f>
        <x:v>2325</x:v>
      </x:c>
      <x:c r="J57" s="18" t="n">
        <x:f>IF('Assumptions'!$E$4=5,J20*'Assumptions'!$E$88,0)</x:f>
        <x:v>2800</x:v>
      </x:c>
      <x:c r="K57" s="18" t="n">
        <x:f>IF('Assumptions'!$E$4=5,K20*'Assumptions'!$E$88,0)</x:f>
        <x:v>3875</x:v>
      </x:c>
      <x:c r="L57" s="18" t="n">
        <x:f>IF('Assumptions'!$E$4=5,L20*'Assumptions'!$E$88,0)</x:f>
        <x:v>4500</x:v>
      </x:c>
      <x:c r="M57" s="18" t="n">
        <x:f>IF('Assumptions'!$E$4=5,M20*'Assumptions'!$E$88,0)</x:f>
        <x:v>5425</x:v>
      </x:c>
      <x:c r="N57" s="18" t="n">
        <x:f>IF('Assumptions'!$E$4=5,N20*'Assumptions'!$E$88,0)</x:f>
        <x:v>6000</x:v>
      </x:c>
      <x:c r="O57" s="18" t="n">
        <x:f>IF('Assumptions'!$E$4=5,O20*'Assumptions'!$E$88,0)</x:f>
        <x:v>6975</x:v>
      </x:c>
      <x:c r="P57" s="18" t="n">
        <x:f>IF('Assumptions'!$E$4=5,P20*'Assumptions'!$E$88,0)</x:f>
        <x:v>7750</x:v>
      </x:c>
      <x:c r="Q57" s="18" t="n">
        <x:f>IF('Assumptions'!$E$4=5,Q20*'Assumptions'!$E$88,0)</x:f>
        <x:v>7500</x:v>
      </x:c>
    </x:row>
    <x:row r="58" ht="21" customHeight="1">
      <x:c r="A58" s="1"/>
      <x:c r="B58" s="1"/>
      <x:c r="C58" s="1" t="str">
        <x:v>Activity archive R2 segments</x:v>
      </x:c>
      <x:c r="D58" s="18" t="n">
        <x:f>SUM(F58:Q58)</x:f>
        <x:v>50680</x:v>
      </x:c>
      <x:c r="E58" s="18"/>
      <x:c r="F58" s="18" t="n">
        <x:f>F57*'Assumptions'!$E$89</x:f>
        <x:v>700</x:v>
      </x:c>
      <x:c r="G58" s="18" t="n">
        <x:f>G57*'Assumptions'!$E$89</x:f>
        <x:v>1125</x:v>
      </x:c>
      <x:c r="H58" s="18" t="n">
        <x:f>H57*'Assumptions'!$E$89</x:f>
        <x:v>1705</x:v>
      </x:c>
      <x:c r="I58" s="18" t="n">
        <x:f>I57*'Assumptions'!$E$89</x:f>
        <x:v>2325</x:v>
      </x:c>
      <x:c r="J58" s="18" t="n">
        <x:f>J57*'Assumptions'!$E$89</x:f>
        <x:v>2800</x:v>
      </x:c>
      <x:c r="K58" s="18" t="n">
        <x:f>K57*'Assumptions'!$E$89</x:f>
        <x:v>3875</x:v>
      </x:c>
      <x:c r="L58" s="18" t="n">
        <x:f>L57*'Assumptions'!$E$89</x:f>
        <x:v>4500</x:v>
      </x:c>
      <x:c r="M58" s="18" t="n">
        <x:f>M57*'Assumptions'!$E$89</x:f>
        <x:v>5425</x:v>
      </x:c>
      <x:c r="N58" s="18" t="n">
        <x:f>N57*'Assumptions'!$E$89</x:f>
        <x:v>6000</x:v>
      </x:c>
      <x:c r="O58" s="18" t="n">
        <x:f>O57*'Assumptions'!$E$89</x:f>
        <x:v>6975</x:v>
      </x:c>
      <x:c r="P58" s="18" t="n">
        <x:f>P57*'Assumptions'!$E$89</x:f>
        <x:v>7750</x:v>
      </x:c>
      <x:c r="Q58" s="18" t="n">
        <x:f>Q57*'Assumptions'!$E$89</x:f>
        <x:v>7500</x:v>
      </x:c>
    </x:row>
    <x:row r="59" ht="21" customHeight="1">
      <x:c r="A59" s="1"/>
      <x:c r="B59" s="1"/>
      <x:c r="C59" s="1" t="str">
        <x:v>Activity event rows compacted per segment</x:v>
      </x:c>
      <x:c r="D59" s="18" t="n">
        <x:f>SUM(F59:Q59)</x:f>
        <x:v>6487040</x:v>
      </x:c>
      <x:c r="E59" s="18"/>
      <x:c r="F59" s="18" t="n">
        <x:f>F58*'Assumptions'!$E$90</x:f>
        <x:v>89600</x:v>
      </x:c>
      <x:c r="G59" s="18" t="n">
        <x:f>G58*'Assumptions'!$E$90</x:f>
        <x:v>144000</x:v>
      </x:c>
      <x:c r="H59" s="18" t="n">
        <x:f>H58*'Assumptions'!$E$90</x:f>
        <x:v>218240</x:v>
      </x:c>
      <x:c r="I59" s="18" t="n">
        <x:f>I58*'Assumptions'!$E$90</x:f>
        <x:v>297600</x:v>
      </x:c>
      <x:c r="J59" s="18" t="n">
        <x:f>J58*'Assumptions'!$E$90</x:f>
        <x:v>358400</x:v>
      </x:c>
      <x:c r="K59" s="18" t="n">
        <x:f>K58*'Assumptions'!$E$90</x:f>
        <x:v>496000</x:v>
      </x:c>
      <x:c r="L59" s="18" t="n">
        <x:f>L58*'Assumptions'!$E$90</x:f>
        <x:v>576000</x:v>
      </x:c>
      <x:c r="M59" s="18" t="n">
        <x:f>M58*'Assumptions'!$E$90</x:f>
        <x:v>694400</x:v>
      </x:c>
      <x:c r="N59" s="18" t="n">
        <x:f>N58*'Assumptions'!$E$90</x:f>
        <x:v>768000</x:v>
      </x:c>
      <x:c r="O59" s="18" t="n">
        <x:f>O58*'Assumptions'!$E$90</x:f>
        <x:v>892800</x:v>
      </x:c>
      <x:c r="P59" s="18" t="n">
        <x:f>P58*'Assumptions'!$E$90</x:f>
        <x:v>992000</x:v>
      </x:c>
      <x:c r="Q59" s="18" t="n">
        <x:f>Q58*'Assumptions'!$E$90</x:f>
        <x:v>960000</x:v>
      </x:c>
    </x:row>
    <x:row r="60" ht="21" customHeight="1">
      <x:c r="A60" s="1"/>
      <x:c r="B60" s="1"/>
      <x:c r="C60" s="1" t="str">
        <x:v>R2 sealed result uploads</x:v>
      </x:c>
      <x:c r="D60" s="18" t="n">
        <x:f>SUM(F60:Q60)</x:f>
        <x:v>5068</x:v>
      </x:c>
      <x:c r="E60" s="18"/>
      <x:c r="F60" s="18" t="n">
        <x:f>IF('Assumptions'!$E$4=5,F20*'Assumptions'!$E$94,0)</x:f>
        <x:v>70</x:v>
      </x:c>
      <x:c r="G60" s="18" t="n">
        <x:f>IF('Assumptions'!$E$4=5,G20*'Assumptions'!$E$94,0)</x:f>
        <x:v>112.5</x:v>
      </x:c>
      <x:c r="H60" s="18" t="n">
        <x:f>IF('Assumptions'!$E$4=5,H20*'Assumptions'!$E$94,0)</x:f>
        <x:v>170.5</x:v>
      </x:c>
      <x:c r="I60" s="18" t="n">
        <x:f>IF('Assumptions'!$E$4=5,I20*'Assumptions'!$E$94,0)</x:f>
        <x:v>232.5</x:v>
      </x:c>
      <x:c r="J60" s="18" t="n">
        <x:f>IF('Assumptions'!$E$4=5,J20*'Assumptions'!$E$94,0)</x:f>
        <x:v>280</x:v>
      </x:c>
      <x:c r="K60" s="18" t="n">
        <x:f>IF('Assumptions'!$E$4=5,K20*'Assumptions'!$E$94,0)</x:f>
        <x:v>387.5</x:v>
      </x:c>
      <x:c r="L60" s="18" t="n">
        <x:f>IF('Assumptions'!$E$4=5,L20*'Assumptions'!$E$94,0)</x:f>
        <x:v>450</x:v>
      </x:c>
      <x:c r="M60" s="18" t="n">
        <x:f>IF('Assumptions'!$E$4=5,M20*'Assumptions'!$E$94,0)</x:f>
        <x:v>542.5</x:v>
      </x:c>
      <x:c r="N60" s="18" t="n">
        <x:f>IF('Assumptions'!$E$4=5,N20*'Assumptions'!$E$94,0)</x:f>
        <x:v>600</x:v>
      </x:c>
      <x:c r="O60" s="18" t="n">
        <x:f>IF('Assumptions'!$E$4=5,O20*'Assumptions'!$E$94,0)</x:f>
        <x:v>697.5</x:v>
      </x:c>
      <x:c r="P60" s="18" t="n">
        <x:f>IF('Assumptions'!$E$4=5,P20*'Assumptions'!$E$94,0)</x:f>
        <x:v>775</x:v>
      </x:c>
      <x:c r="Q60" s="18" t="n">
        <x:f>IF('Assumptions'!$E$4=5,Q20*'Assumptions'!$E$94,0)</x:f>
        <x:v>750</x:v>
      </x:c>
    </x:row>
    <x:row r="61" ht="21" customHeight="1">
      <x:c r="A61" s="1"/>
      <x:c r="B61" s="1"/>
      <x:c r="C61" s="1" t="str">
        <x:v>Terminal job sealed-input archives</x:v>
      </x:c>
      <x:c r="D61" s="18" t="n">
        <x:f>SUM(F61:Q61)</x:f>
        <x:v>50680</x:v>
      </x:c>
      <x:c r="E61" s="18"/>
      <x:c r="F61" s="18" t="n">
        <x:f>IF('Assumptions'!$E$4=5,F57*'Assumptions'!$E$98,0)</x:f>
        <x:v>700</x:v>
      </x:c>
      <x:c r="G61" s="18" t="n">
        <x:f>IF('Assumptions'!$E$4=5,G57*'Assumptions'!$E$98,0)</x:f>
        <x:v>1125</x:v>
      </x:c>
      <x:c r="H61" s="18" t="n">
        <x:f>IF('Assumptions'!$E$4=5,H57*'Assumptions'!$E$98,0)</x:f>
        <x:v>1705</x:v>
      </x:c>
      <x:c r="I61" s="18" t="n">
        <x:f>IF('Assumptions'!$E$4=5,I57*'Assumptions'!$E$98,0)</x:f>
        <x:v>2325</x:v>
      </x:c>
      <x:c r="J61" s="18" t="n">
        <x:f>IF('Assumptions'!$E$4=5,J57*'Assumptions'!$E$98,0)</x:f>
        <x:v>2800</x:v>
      </x:c>
      <x:c r="K61" s="18" t="n">
        <x:f>IF('Assumptions'!$E$4=5,K57*'Assumptions'!$E$98,0)</x:f>
        <x:v>3875</x:v>
      </x:c>
      <x:c r="L61" s="18" t="n">
        <x:f>IF('Assumptions'!$E$4=5,L57*'Assumptions'!$E$98,0)</x:f>
        <x:v>4500</x:v>
      </x:c>
      <x:c r="M61" s="18" t="n">
        <x:f>IF('Assumptions'!$E$4=5,M57*'Assumptions'!$E$98,0)</x:f>
        <x:v>5425</x:v>
      </x:c>
      <x:c r="N61" s="18" t="n">
        <x:f>IF('Assumptions'!$E$4=5,N57*'Assumptions'!$E$98,0)</x:f>
        <x:v>6000</x:v>
      </x:c>
      <x:c r="O61" s="18" t="n">
        <x:f>IF('Assumptions'!$E$4=5,O57*'Assumptions'!$E$98,0)</x:f>
        <x:v>6975</x:v>
      </x:c>
      <x:c r="P61" s="18" t="n">
        <x:f>IF('Assumptions'!$E$4=5,P57*'Assumptions'!$E$98,0)</x:f>
        <x:v>7750</x:v>
      </x:c>
      <x:c r="Q61" s="18" t="n">
        <x:f>IF('Assumptions'!$E$4=5,Q57*'Assumptions'!$E$98,0)</x:f>
        <x:v>7500</x:v>
      </x:c>
    </x:row>
    <x:row r="62" ht="21" customHeight="1">
      <x:c r="A62" s="1"/>
      <x:c r="B62" s="1"/>
      <x:c r="C62" s="1" t="str">
        <x:v>Sealed-input R2 PUT requests</x:v>
      </x:c>
      <x:c r="D62" s="18" t="n">
        <x:f>SUM(F62:Q62)</x:f>
        <x:v>50680</x:v>
      </x:c>
      <x:c r="E62" s="18"/>
      <x:c r="F62" s="18" t="n">
        <x:f>F61</x:f>
        <x:v>700</x:v>
      </x:c>
      <x:c r="G62" s="18" t="n">
        <x:f>G61</x:f>
        <x:v>1125</x:v>
      </x:c>
      <x:c r="H62" s="18" t="n">
        <x:f>H61</x:f>
        <x:v>1705</x:v>
      </x:c>
      <x:c r="I62" s="18" t="n">
        <x:f>I61</x:f>
        <x:v>2325</x:v>
      </x:c>
      <x:c r="J62" s="18" t="n">
        <x:f>J61</x:f>
        <x:v>2800</x:v>
      </x:c>
      <x:c r="K62" s="18" t="n">
        <x:f>K61</x:f>
        <x:v>3875</x:v>
      </x:c>
      <x:c r="L62" s="18" t="n">
        <x:f>L61</x:f>
        <x:v>4500</x:v>
      </x:c>
      <x:c r="M62" s="18" t="n">
        <x:f>M61</x:f>
        <x:v>5425</x:v>
      </x:c>
      <x:c r="N62" s="18" t="n">
        <x:f>N61</x:f>
        <x:v>6000</x:v>
      </x:c>
      <x:c r="O62" s="18" t="n">
        <x:f>O61</x:f>
        <x:v>6975</x:v>
      </x:c>
      <x:c r="P62" s="18" t="n">
        <x:f>P61</x:f>
        <x:v>7750</x:v>
      </x:c>
      <x:c r="Q62" s="18" t="n">
        <x:f>Q61</x:f>
        <x:v>7500</x:v>
      </x:c>
    </x:row>
    <x:row r="63" ht="21" customHeight="1">
      <x:c r="A63" s="1"/>
      <x:c r="B63" s="1"/>
      <x:c r="C63" s="1" t="str">
        <x:v>Sealed-input R2 HEAD requests</x:v>
      </x:c>
      <x:c r="D63" s="18" t="n">
        <x:f>SUM(F63:Q63)</x:f>
        <x:v>101360</x:v>
      </x:c>
      <x:c r="E63" s="18"/>
      <x:c r="F63" s="18" t="n">
        <x:f>2*F61</x:f>
        <x:v>1400</x:v>
      </x:c>
      <x:c r="G63" s="18" t="n">
        <x:f>2*G61</x:f>
        <x:v>2250</x:v>
      </x:c>
      <x:c r="H63" s="18" t="n">
        <x:f>2*H61</x:f>
        <x:v>3410</x:v>
      </x:c>
      <x:c r="I63" s="18" t="n">
        <x:f>2*I61</x:f>
        <x:v>4650</x:v>
      </x:c>
      <x:c r="J63" s="18" t="n">
        <x:f>2*J61</x:f>
        <x:v>5600</x:v>
      </x:c>
      <x:c r="K63" s="18" t="n">
        <x:f>2*K61</x:f>
        <x:v>7750</x:v>
      </x:c>
      <x:c r="L63" s="18" t="n">
        <x:f>2*L61</x:f>
        <x:v>9000</x:v>
      </x:c>
      <x:c r="M63" s="18" t="n">
        <x:f>2*M61</x:f>
        <x:v>10850</x:v>
      </x:c>
      <x:c r="N63" s="18" t="n">
        <x:f>2*N61</x:f>
        <x:v>12000</x:v>
      </x:c>
      <x:c r="O63" s="18" t="n">
        <x:f>2*O61</x:f>
        <x:v>13950</x:v>
      </x:c>
      <x:c r="P63" s="18" t="n">
        <x:f>2*P61</x:f>
        <x:v>15500</x:v>
      </x:c>
      <x:c r="Q63" s="18" t="n">
        <x:f>2*Q61</x:f>
        <x:v>15000</x:v>
      </x:c>
    </x:row>
    <x:row r="64" ht="21" customHeight="1">
      <x:c r="A64" s="1"/>
      <x:c r="B64" s="1"/>
      <x:c r="C64" s="1" t="str">
        <x:v>Sealed-input R2 GET requests</x:v>
      </x:c>
      <x:c r="D64" s="18" t="n">
        <x:f>SUM(F64:Q64)</x:f>
        <x:v>50680</x:v>
      </x:c>
      <x:c r="E64" s="18"/>
      <x:c r="F64" s="18" t="n">
        <x:f>F61*'Assumptions'!$E$101</x:f>
        <x:v>700</x:v>
      </x:c>
      <x:c r="G64" s="18" t="n">
        <x:f>G61*'Assumptions'!$E$101</x:f>
        <x:v>1125</x:v>
      </x:c>
      <x:c r="H64" s="18" t="n">
        <x:f>H61*'Assumptions'!$E$101</x:f>
        <x:v>1705</x:v>
      </x:c>
      <x:c r="I64" s="18" t="n">
        <x:f>I61*'Assumptions'!$E$101</x:f>
        <x:v>2325</x:v>
      </x:c>
      <x:c r="J64" s="18" t="n">
        <x:f>J61*'Assumptions'!$E$101</x:f>
        <x:v>2800</x:v>
      </x:c>
      <x:c r="K64" s="18" t="n">
        <x:f>K61*'Assumptions'!$E$101</x:f>
        <x:v>3875</x:v>
      </x:c>
      <x:c r="L64" s="18" t="n">
        <x:f>L61*'Assumptions'!$E$101</x:f>
        <x:v>4500</x:v>
      </x:c>
      <x:c r="M64" s="18" t="n">
        <x:f>M61*'Assumptions'!$E$101</x:f>
        <x:v>5425</x:v>
      </x:c>
      <x:c r="N64" s="18" t="n">
        <x:f>N61*'Assumptions'!$E$101</x:f>
        <x:v>6000</x:v>
      </x:c>
      <x:c r="O64" s="18" t="n">
        <x:f>O61*'Assumptions'!$E$101</x:f>
        <x:v>6975</x:v>
      </x:c>
      <x:c r="P64" s="18" t="n">
        <x:f>P61*'Assumptions'!$E$101</x:f>
        <x:v>7750</x:v>
      </x:c>
      <x:c r="Q64" s="18" t="n">
        <x:f>Q61*'Assumptions'!$E$101</x:f>
        <x:v>7500</x:v>
      </x:c>
    </x:row>
    <x:row r="65" ht="21" customHeight="1">
      <x:c r="A65" s="1"/>
      <x:c r="B65" s="1"/>
      <x:c r="C65" s="1" t="str">
        <x:v>Sealed-input R2 DELETE requests at expiry</x:v>
      </x:c>
      <x:c r="D65" s="18" t="n">
        <x:f>SUM(F65:Q65)</x:f>
        <x:v>50680</x:v>
      </x:c>
      <x:c r="E65" s="18"/>
      <x:c r="F65" s="18" t="n">
        <x:f>F61</x:f>
        <x:v>700</x:v>
      </x:c>
      <x:c r="G65" s="18" t="n">
        <x:f>G61</x:f>
        <x:v>1125</x:v>
      </x:c>
      <x:c r="H65" s="18" t="n">
        <x:f>H61</x:f>
        <x:v>1705</x:v>
      </x:c>
      <x:c r="I65" s="18" t="n">
        <x:f>I61</x:f>
        <x:v>2325</x:v>
      </x:c>
      <x:c r="J65" s="18" t="n">
        <x:f>J61</x:f>
        <x:v>2800</x:v>
      </x:c>
      <x:c r="K65" s="18" t="n">
        <x:f>K61</x:f>
        <x:v>3875</x:v>
      </x:c>
      <x:c r="L65" s="18" t="n">
        <x:f>L61</x:f>
        <x:v>4500</x:v>
      </x:c>
      <x:c r="M65" s="18" t="n">
        <x:f>M61</x:f>
        <x:v>5425</x:v>
      </x:c>
      <x:c r="N65" s="18" t="n">
        <x:f>N61</x:f>
        <x:v>6000</x:v>
      </x:c>
      <x:c r="O65" s="18" t="n">
        <x:f>O61</x:f>
        <x:v>6975</x:v>
      </x:c>
      <x:c r="P65" s="18" t="n">
        <x:f>P61</x:f>
        <x:v>7750</x:v>
      </x:c>
      <x:c r="Q65" s="18" t="n">
        <x:f>Q61</x:f>
        <x:v>7500</x:v>
      </x:c>
    </x:row>
    <x:row r="66" ht="21" customHeight="1">
      <x:c r="A66" s="1"/>
      <x:c r="B66" s="1"/>
      <x:c r="C66" s="1" t="str">
        <x:v>Required result artifacts</x:v>
      </x:c>
      <x:c r="D66" s="18" t="n">
        <x:f>SUM(F66:Q66)</x:f>
        <x:v>5068</x:v>
      </x:c>
      <x:c r="E66" s="18"/>
      <x:c r="F66" s="18" t="n">
        <x:f>F20*'Assumptions'!$E$104</x:f>
        <x:v>70</x:v>
      </x:c>
      <x:c r="G66" s="18" t="n">
        <x:f>G20*'Assumptions'!$E$104</x:f>
        <x:v>112.5</x:v>
      </x:c>
      <x:c r="H66" s="18" t="n">
        <x:f>H20*'Assumptions'!$E$104</x:f>
        <x:v>170.5</x:v>
      </x:c>
      <x:c r="I66" s="18" t="n">
        <x:f>I20*'Assumptions'!$E$104</x:f>
        <x:v>232.5</x:v>
      </x:c>
      <x:c r="J66" s="18" t="n">
        <x:f>J20*'Assumptions'!$E$104</x:f>
        <x:v>280</x:v>
      </x:c>
      <x:c r="K66" s="18" t="n">
        <x:f>K20*'Assumptions'!$E$104</x:f>
        <x:v>387.5</x:v>
      </x:c>
      <x:c r="L66" s="18" t="n">
        <x:f>L20*'Assumptions'!$E$104</x:f>
        <x:v>450</x:v>
      </x:c>
      <x:c r="M66" s="18" t="n">
        <x:f>M20*'Assumptions'!$E$104</x:f>
        <x:v>542.5</x:v>
      </x:c>
      <x:c r="N66" s="18" t="n">
        <x:f>N20*'Assumptions'!$E$104</x:f>
        <x:v>600</x:v>
      </x:c>
      <x:c r="O66" s="18" t="n">
        <x:f>O20*'Assumptions'!$E$104</x:f>
        <x:v>697.5</x:v>
      </x:c>
      <x:c r="P66" s="18" t="n">
        <x:f>P20*'Assumptions'!$E$104</x:f>
        <x:v>775</x:v>
      </x:c>
      <x:c r="Q66" s="18" t="n">
        <x:f>Q20*'Assumptions'!$E$104</x:f>
        <x:v>750</x:v>
      </x:c>
    </x:row>
    <x:row r="67" ht="21" customHeight="1">
      <x:c r="A67" s="1"/>
      <x:c r="B67" s="1"/>
      <x:c r="C67" s="1" t="str">
        <x:v>Handoff checkpoints</x:v>
      </x:c>
      <x:c r="D67" s="18" t="n">
        <x:f>SUM(F67:Q67)</x:f>
        <x:v>506.8</x:v>
      </x:c>
      <x:c r="E67" s="18"/>
      <x:c r="F67" s="18" t="n">
        <x:f>F20*'Assumptions'!$E$108</x:f>
        <x:v>7</x:v>
      </x:c>
      <x:c r="G67" s="18" t="n">
        <x:f>G20*'Assumptions'!$E$108</x:f>
        <x:v>11.25</x:v>
      </x:c>
      <x:c r="H67" s="18" t="n">
        <x:f>H20*'Assumptions'!$E$108</x:f>
        <x:v>17.05</x:v>
      </x:c>
      <x:c r="I67" s="18" t="n">
        <x:f>I20*'Assumptions'!$E$108</x:f>
        <x:v>23.25</x:v>
      </x:c>
      <x:c r="J67" s="18" t="n">
        <x:f>J20*'Assumptions'!$E$108</x:f>
        <x:v>28</x:v>
      </x:c>
      <x:c r="K67" s="18" t="n">
        <x:f>K20*'Assumptions'!$E$108</x:f>
        <x:v>38.75</x:v>
      </x:c>
      <x:c r="L67" s="18" t="n">
        <x:f>L20*'Assumptions'!$E$108</x:f>
        <x:v>45</x:v>
      </x:c>
      <x:c r="M67" s="18" t="n">
        <x:f>M20*'Assumptions'!$E$108</x:f>
        <x:v>54.25</x:v>
      </x:c>
      <x:c r="N67" s="18" t="n">
        <x:f>N20*'Assumptions'!$E$108</x:f>
        <x:v>60</x:v>
      </x:c>
      <x:c r="O67" s="18" t="n">
        <x:f>O20*'Assumptions'!$E$108</x:f>
        <x:v>69.75</x:v>
      </x:c>
      <x:c r="P67" s="18" t="n">
        <x:f>P20*'Assumptions'!$E$108</x:f>
        <x:v>77.5</x:v>
      </x:c>
      <x:c r="Q67" s="18" t="n">
        <x:f>Q20*'Assumptions'!$E$108</x:f>
        <x:v>75</x:v>
      </x:c>
    </x:row>
    <x:row r="68" ht="21" customHeight="1">
      <x:c r="A68" s="1"/>
      <x:c r="B68" s="1"/>
      <x:c r="C68" s="1" t="str">
        <x:v>Retained history archive GB</x:v>
      </x:c>
      <x:c r="D68" s="30" t="n">
        <x:f>SUM(F68:Q68)</x:f>
        <x:v>39.34126080000001</x:v>
      </x:c>
      <x:c r="E68" s="30"/>
      <x:c r="F68" s="30" t="n">
        <x:f>F57/F9*'Assumptions'!$E$91*'Assumptions'!$E$92/1000000000</x:f>
        <x:v>0.589824</x:v>
      </x:c>
      <x:c r="G68" s="30" t="n">
        <x:f>G57/G9*'Assumptions'!$E$91*'Assumptions'!$E$92/1000000000</x:f>
        <x:v>0.884736</x:v>
      </x:c>
      <x:c r="H68" s="30" t="n">
        <x:f>H57/H9*'Assumptions'!$E$91*'Assumptions'!$E$92/1000000000</x:f>
        <x:v>1.2976128</x:v>
      </x:c>
      <x:c r="I68" s="30" t="n">
        <x:f>I57/I9*'Assumptions'!$E$91*'Assumptions'!$E$92/1000000000</x:f>
        <x:v>1.769472</x:v>
      </x:c>
      <x:c r="J68" s="30" t="n">
        <x:f>J57/J9*'Assumptions'!$E$91*'Assumptions'!$E$92/1000000000</x:f>
        <x:v>2.359296</x:v>
      </x:c>
      <x:c r="K68" s="30" t="n">
        <x:f>K57/K9*'Assumptions'!$E$91*'Assumptions'!$E$92/1000000000</x:f>
        <x:v>2.94912</x:v>
      </x:c>
      <x:c r="L68" s="30" t="n">
        <x:f>L57/L9*'Assumptions'!$E$91*'Assumptions'!$E$92/1000000000</x:f>
        <x:v>3.538944</x:v>
      </x:c>
      <x:c r="M68" s="30" t="n">
        <x:f>M57/M9*'Assumptions'!$E$91*'Assumptions'!$E$92/1000000000</x:f>
        <x:v>4.128768</x:v>
      </x:c>
      <x:c r="N68" s="30" t="n">
        <x:f>N57/N9*'Assumptions'!$E$91*'Assumptions'!$E$92/1000000000</x:f>
        <x:v>4.718592</x:v>
      </x:c>
      <x:c r="O68" s="30" t="n">
        <x:f>O57/O9*'Assumptions'!$E$91*'Assumptions'!$E$92/1000000000</x:f>
        <x:v>5.308416</x:v>
      </x:c>
      <x:c r="P68" s="30" t="n">
        <x:f>P57/P9*'Assumptions'!$E$91*'Assumptions'!$E$92/1000000000</x:f>
        <x:v>5.89824</x:v>
      </x:c>
      <x:c r="Q68" s="30" t="n">
        <x:f>Q57/Q9*'Assumptions'!$E$91*'Assumptions'!$E$92/1000000000</x:f>
        <x:v>5.89824</x:v>
      </x:c>
    </x:row>
    <x:row r="69" ht="21" customHeight="1">
      <x:c r="A69" s="1"/>
      <x:c r="B69" s="1"/>
      <x:c r="C69" s="1" t="str">
        <x:v>Retained SQLite result-report GB</x:v>
      </x:c>
      <x:c r="D69" s="30" t="n">
        <x:f>SUM(F69:Q69)</x:f>
        <x:v>0.9835315200000001</x:v>
      </x:c>
      <x:c r="E69" s="30"/>
      <x:c r="F69" s="30" t="n">
        <x:f>F20/F9*'Assumptions'!$E$77*'Assumptions'!$E$78*'Assumptions'!$E$79/1000000000</x:f>
        <x:v>0.0147456</x:v>
      </x:c>
      <x:c r="G69" s="30" t="n">
        <x:f>G20/G9*'Assumptions'!$E$77*'Assumptions'!$E$78*'Assumptions'!$E$79/1000000000</x:f>
        <x:v>0.0221184</x:v>
      </x:c>
      <x:c r="H69" s="30" t="n">
        <x:f>H20/H9*'Assumptions'!$E$77*'Assumptions'!$E$78*'Assumptions'!$E$79/1000000000</x:f>
        <x:v>0.03244032</x:v>
      </x:c>
      <x:c r="I69" s="30" t="n">
        <x:f>I20/I9*'Assumptions'!$E$77*'Assumptions'!$E$78*'Assumptions'!$E$79/1000000000</x:f>
        <x:v>0.0442368</x:v>
      </x:c>
      <x:c r="J69" s="30" t="n">
        <x:f>J20/J9*'Assumptions'!$E$77*'Assumptions'!$E$78*'Assumptions'!$E$79/1000000000</x:f>
        <x:v>0.0589824</x:v>
      </x:c>
      <x:c r="K69" s="30" t="n">
        <x:f>K20/K9*'Assumptions'!$E$77*'Assumptions'!$E$78*'Assumptions'!$E$79/1000000000</x:f>
        <x:v>0.073728</x:v>
      </x:c>
      <x:c r="L69" s="30" t="n">
        <x:f>L20/L9*'Assumptions'!$E$77*'Assumptions'!$E$78*'Assumptions'!$E$79/1000000000</x:f>
        <x:v>0.0884736</x:v>
      </x:c>
      <x:c r="M69" s="30" t="n">
        <x:f>M20/M9*'Assumptions'!$E$77*'Assumptions'!$E$78*'Assumptions'!$E$79/1000000000</x:f>
        <x:v>0.1032192</x:v>
      </x:c>
      <x:c r="N69" s="30" t="n">
        <x:f>N20/N9*'Assumptions'!$E$77*'Assumptions'!$E$78*'Assumptions'!$E$79/1000000000</x:f>
        <x:v>0.1179648</x:v>
      </x:c>
      <x:c r="O69" s="30" t="n">
        <x:f>O20/O9*'Assumptions'!$E$77*'Assumptions'!$E$78*'Assumptions'!$E$79/1000000000</x:f>
        <x:v>0.1327104</x:v>
      </x:c>
      <x:c r="P69" s="30" t="n">
        <x:f>P20/P9*'Assumptions'!$E$77*'Assumptions'!$E$78*'Assumptions'!$E$79/1000000000</x:f>
        <x:v>0.147456</x:v>
      </x:c>
      <x:c r="Q69" s="30" t="n">
        <x:f>Q20/Q9*'Assumptions'!$E$77*'Assumptions'!$E$78*'Assumptions'!$E$79/1000000000</x:f>
        <x:v>0.147456</x:v>
      </x:c>
    </x:row>
    <x:row r="70" ht="21" customHeight="1">
      <x:c r="A70" s="1"/>
      <x:c r="B70" s="1"/>
      <x:c r="C70" s="1" t="str">
        <x:v>Retained R2 sealed-result GB</x:v>
      </x:c>
      <x:c r="D70" s="30" t="n">
        <x:f>SUM(F70:Q70)</x:f>
        <x:v>0.9835315200000001</x:v>
      </x:c>
      <x:c r="E70" s="30"/>
      <x:c r="F70" s="30" t="n">
        <x:f>F20/F9*'Assumptions'!$E$94*'Assumptions'!$E$95*'Assumptions'!$E$96/1000000000</x:f>
        <x:v>0.0147456</x:v>
      </x:c>
      <x:c r="G70" s="30" t="n">
        <x:f>G20/G9*'Assumptions'!$E$94*'Assumptions'!$E$95*'Assumptions'!$E$96/1000000000</x:f>
        <x:v>0.0221184</x:v>
      </x:c>
      <x:c r="H70" s="30" t="n">
        <x:f>H20/H9*'Assumptions'!$E$94*'Assumptions'!$E$95*'Assumptions'!$E$96/1000000000</x:f>
        <x:v>0.03244032</x:v>
      </x:c>
      <x:c r="I70" s="30" t="n">
        <x:f>I20/I9*'Assumptions'!$E$94*'Assumptions'!$E$95*'Assumptions'!$E$96/1000000000</x:f>
        <x:v>0.0442368</x:v>
      </x:c>
      <x:c r="J70" s="30" t="n">
        <x:f>J20/J9*'Assumptions'!$E$94*'Assumptions'!$E$95*'Assumptions'!$E$96/1000000000</x:f>
        <x:v>0.0589824</x:v>
      </x:c>
      <x:c r="K70" s="30" t="n">
        <x:f>K20/K9*'Assumptions'!$E$94*'Assumptions'!$E$95*'Assumptions'!$E$96/1000000000</x:f>
        <x:v>0.073728</x:v>
      </x:c>
      <x:c r="L70" s="30" t="n">
        <x:f>L20/L9*'Assumptions'!$E$94*'Assumptions'!$E$95*'Assumptions'!$E$96/1000000000</x:f>
        <x:v>0.0884736</x:v>
      </x:c>
      <x:c r="M70" s="30" t="n">
        <x:f>M20/M9*'Assumptions'!$E$94*'Assumptions'!$E$95*'Assumptions'!$E$96/1000000000</x:f>
        <x:v>0.1032192</x:v>
      </x:c>
      <x:c r="N70" s="30" t="n">
        <x:f>N20/N9*'Assumptions'!$E$94*'Assumptions'!$E$95*'Assumptions'!$E$96/1000000000</x:f>
        <x:v>0.1179648</x:v>
      </x:c>
      <x:c r="O70" s="30" t="n">
        <x:f>O20/O9*'Assumptions'!$E$94*'Assumptions'!$E$95*'Assumptions'!$E$96/1000000000</x:f>
        <x:v>0.1327104</x:v>
      </x:c>
      <x:c r="P70" s="30" t="n">
        <x:f>P20/P9*'Assumptions'!$E$94*'Assumptions'!$E$95*'Assumptions'!$E$96/1000000000</x:f>
        <x:v>0.147456</x:v>
      </x:c>
      <x:c r="Q70" s="30" t="n">
        <x:f>Q20/Q9*'Assumptions'!$E$94*'Assumptions'!$E$95*'Assumptions'!$E$96/1000000000</x:f>
        <x:v>0.147456</x:v>
      </x:c>
    </x:row>
    <x:row r="71" ht="21" customHeight="1">
      <x:c r="A71" s="1"/>
      <x:c r="B71" s="1"/>
      <x:c r="C71" s="1" t="str">
        <x:v>Retained R2 sealed-input archive GB</x:v>
      </x:c>
      <x:c r="D71" s="30" t="n">
        <x:f>SUM(F71:Q71)</x:f>
        <x:v>19.670630400000004</x:v>
      </x:c>
      <x:c r="E71" s="30"/>
      <x:c r="F71" s="30" t="n">
        <x:f>F61/F9*'Assumptions'!$E$99*'Assumptions'!$E$100/1000000000</x:f>
        <x:v>0.294912</x:v>
      </x:c>
      <x:c r="G71" s="30" t="n">
        <x:f>G61/G9*'Assumptions'!$E$99*'Assumptions'!$E$100/1000000000</x:f>
        <x:v>0.442368</x:v>
      </x:c>
      <x:c r="H71" s="30" t="n">
        <x:f>H61/H9*'Assumptions'!$E$99*'Assumptions'!$E$100/1000000000</x:f>
        <x:v>0.6488064</x:v>
      </x:c>
      <x:c r="I71" s="30" t="n">
        <x:f>I61/I9*'Assumptions'!$E$99*'Assumptions'!$E$100/1000000000</x:f>
        <x:v>0.884736</x:v>
      </x:c>
      <x:c r="J71" s="30" t="n">
        <x:f>J61/J9*'Assumptions'!$E$99*'Assumptions'!$E$100/1000000000</x:f>
        <x:v>1.179648</x:v>
      </x:c>
      <x:c r="K71" s="30" t="n">
        <x:f>K61/K9*'Assumptions'!$E$99*'Assumptions'!$E$100/1000000000</x:f>
        <x:v>1.47456</x:v>
      </x:c>
      <x:c r="L71" s="30" t="n">
        <x:f>L61/L9*'Assumptions'!$E$99*'Assumptions'!$E$100/1000000000</x:f>
        <x:v>1.769472</x:v>
      </x:c>
      <x:c r="M71" s="30" t="n">
        <x:f>M61/M9*'Assumptions'!$E$99*'Assumptions'!$E$100/1000000000</x:f>
        <x:v>2.064384</x:v>
      </x:c>
      <x:c r="N71" s="30" t="n">
        <x:f>N61/N9*'Assumptions'!$E$99*'Assumptions'!$E$100/1000000000</x:f>
        <x:v>2.359296</x:v>
      </x:c>
      <x:c r="O71" s="30" t="n">
        <x:f>O61/O9*'Assumptions'!$E$99*'Assumptions'!$E$100/1000000000</x:f>
        <x:v>2.654208</x:v>
      </x:c>
      <x:c r="P71" s="30" t="n">
        <x:f>P61/P9*'Assumptions'!$E$99*'Assumptions'!$E$100/1000000000</x:f>
        <x:v>2.94912</x:v>
      </x:c>
      <x:c r="Q71" s="30" t="n">
        <x:f>Q61/Q9*'Assumptions'!$E$99*'Assumptions'!$E$100/1000000000</x:f>
        <x:v>2.94912</x:v>
      </x:c>
    </x:row>
    <x:row r="72" ht="21" customHeight="1">
      <x:c r="A72" s="1"/>
      <x:c r="B72" s="1"/>
      <x:c r="C72" s="1" t="str">
        <x:v>Retained result artifact GB</x:v>
      </x:c>
      <x:c r="D72" s="30" t="n">
        <x:f>SUM(F72:Q72)</x:f>
        <x:v>0.305987584</x:v>
      </x:c>
      <x:c r="E72" s="30"/>
      <x:c r="F72" s="30" t="n">
        <x:f>F20/F9*'Assumptions'!$E$104*'Assumptions'!$E$105*'Assumptions'!$E$106/1000000000</x:f>
        <x:v>0.00458752</x:v>
      </x:c>
      <x:c r="G72" s="30" t="n">
        <x:f>G20/G9*'Assumptions'!$E$104*'Assumptions'!$E$105*'Assumptions'!$E$106/1000000000</x:f>
        <x:v>0.00688128</x:v>
      </x:c>
      <x:c r="H72" s="30" t="n">
        <x:f>H20/H9*'Assumptions'!$E$104*'Assumptions'!$E$105*'Assumptions'!$E$106/1000000000</x:f>
        <x:v>0.010092544</x:v>
      </x:c>
      <x:c r="I72" s="30" t="n">
        <x:f>I20/I9*'Assumptions'!$E$104*'Assumptions'!$E$105*'Assumptions'!$E$106/1000000000</x:f>
        <x:v>0.01376256</x:v>
      </x:c>
      <x:c r="J72" s="30" t="n">
        <x:f>J20/J9*'Assumptions'!$E$104*'Assumptions'!$E$105*'Assumptions'!$E$106/1000000000</x:f>
        <x:v>0.01835008</x:v>
      </x:c>
      <x:c r="K72" s="30" t="n">
        <x:f>K20/K9*'Assumptions'!$E$104*'Assumptions'!$E$105*'Assumptions'!$E$106/1000000000</x:f>
        <x:v>0.0229376</x:v>
      </x:c>
      <x:c r="L72" s="30" t="n">
        <x:f>L20/L9*'Assumptions'!$E$104*'Assumptions'!$E$105*'Assumptions'!$E$106/1000000000</x:f>
        <x:v>0.02752512</x:v>
      </x:c>
      <x:c r="M72" s="30" t="n">
        <x:f>M20/M9*'Assumptions'!$E$104*'Assumptions'!$E$105*'Assumptions'!$E$106/1000000000</x:f>
        <x:v>0.03211264</x:v>
      </x:c>
      <x:c r="N72" s="30" t="n">
        <x:f>N20/N9*'Assumptions'!$E$104*'Assumptions'!$E$105*'Assumptions'!$E$106/1000000000</x:f>
        <x:v>0.03670016</x:v>
      </x:c>
      <x:c r="O72" s="30" t="n">
        <x:f>O20/O9*'Assumptions'!$E$104*'Assumptions'!$E$105*'Assumptions'!$E$106/1000000000</x:f>
        <x:v>0.04128768</x:v>
      </x:c>
      <x:c r="P72" s="30" t="n">
        <x:f>P20/P9*'Assumptions'!$E$104*'Assumptions'!$E$105*'Assumptions'!$E$106/1000000000</x:f>
        <x:v>0.0458752</x:v>
      </x:c>
      <x:c r="Q72" s="30" t="n">
        <x:f>Q20/Q9*'Assumptions'!$E$104*'Assumptions'!$E$105*'Assumptions'!$E$106/1000000000</x:f>
        <x:v>0.0458752</x:v>
      </x:c>
    </x:row>
    <x:row r="73" ht="21" customHeight="1">
      <x:c r="A73" s="1"/>
      <x:c r="B73" s="1"/>
      <x:c r="C73" s="1" t="str">
        <x:v>Retained checkpoint GB</x:v>
      </x:c>
      <x:c r="D73" s="30" t="n">
        <x:f>SUM(F73:Q73)</x:f>
        <x:v>2.098200576</x:v>
      </x:c>
      <x:c r="E73" s="30"/>
      <x:c r="F73" s="30" t="n">
        <x:f>F20/F9*'Assumptions'!$E$108*'Assumptions'!$E$109*'Assumptions'!$E$110/1000000000</x:f>
        <x:v>0.03145728</x:v>
      </x:c>
      <x:c r="G73" s="30" t="n">
        <x:f>G20/G9*'Assumptions'!$E$108*'Assumptions'!$E$109*'Assumptions'!$E$110/1000000000</x:f>
        <x:v>0.04718592</x:v>
      </x:c>
      <x:c r="H73" s="30" t="n">
        <x:f>H20/H9*'Assumptions'!$E$108*'Assumptions'!$E$109*'Assumptions'!$E$110/1000000000</x:f>
        <x:v>0.069206016</x:v>
      </x:c>
      <x:c r="I73" s="30" t="n">
        <x:f>I20/I9*'Assumptions'!$E$108*'Assumptions'!$E$109*'Assumptions'!$E$110/1000000000</x:f>
        <x:v>0.09437184</x:v>
      </x:c>
      <x:c r="J73" s="30" t="n">
        <x:f>J20/J9*'Assumptions'!$E$108*'Assumptions'!$E$109*'Assumptions'!$E$110/1000000000</x:f>
        <x:v>0.12582912</x:v>
      </x:c>
      <x:c r="K73" s="30" t="n">
        <x:f>K20/K9*'Assumptions'!$E$108*'Assumptions'!$E$109*'Assumptions'!$E$110/1000000000</x:f>
        <x:v>0.1572864</x:v>
      </x:c>
      <x:c r="L73" s="30" t="n">
        <x:f>L20/L9*'Assumptions'!$E$108*'Assumptions'!$E$109*'Assumptions'!$E$110/1000000000</x:f>
        <x:v>0.18874368</x:v>
      </x:c>
      <x:c r="M73" s="30" t="n">
        <x:f>M20/M9*'Assumptions'!$E$108*'Assumptions'!$E$109*'Assumptions'!$E$110/1000000000</x:f>
        <x:v>0.22020096</x:v>
      </x:c>
      <x:c r="N73" s="30" t="n">
        <x:f>N20/N9*'Assumptions'!$E$108*'Assumptions'!$E$109*'Assumptions'!$E$110/1000000000</x:f>
        <x:v>0.25165824</x:v>
      </x:c>
      <x:c r="O73" s="30" t="n">
        <x:f>O20/O9*'Assumptions'!$E$108*'Assumptions'!$E$109*'Assumptions'!$E$110/1000000000</x:f>
        <x:v>0.28311552</x:v>
      </x:c>
      <x:c r="P73" s="30" t="n">
        <x:f>P20/P9*'Assumptions'!$E$108*'Assumptions'!$E$109*'Assumptions'!$E$110/1000000000</x:f>
        <x:v>0.3145728</x:v>
      </x:c>
      <x:c r="Q73" s="30" t="n">
        <x:f>Q20/Q9*'Assumptions'!$E$108*'Assumptions'!$E$109*'Assumptions'!$E$110/1000000000</x:f>
        <x:v>0.3145728</x:v>
      </x:c>
    </x:row>
    <x:row r="74" ht="24" customHeight="1">
      <x:c r="A74" s="1"/>
      <x:c r="B74" s="1"/>
      <x:c r="C74" s="17" t="str">
        <x:v>Free service usage and retained data</x:v>
      </x:c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</x:row>
    <x:row r="75" ht="21" customHeight="1">
      <x:c r="A75" s="1"/>
      <x:c r="B75" s="1"/>
      <x:c r="C75" s="1" t="str">
        <x:v>Worker HTTP requests</x:v>
      </x:c>
      <x:c r="D75" s="18" t="n">
        <x:f>SUM(F75:Q75)</x:f>
        <x:v>157729020.5568</x:v>
      </x:c>
      <x:c r="E75" s="18"/>
      <x:c r="F75" s="18" t="n">
        <x:f>IF('Assumptions'!$E$4=5,(F7*'Assumptions'!$E$33*F9+F48+F49+F42+F24+F29)*(1+'Assumptions'!$E$114)*(1+'Assumptions'!$E$139),F11*'Assumptions'!$E$13*(1+'Assumptions'!$E$139))</x:f>
        <x:v>2178577.632</x:v>
      </x:c>
      <x:c r="G75" s="18" t="n">
        <x:f>IF('Assumptions'!$E$4=5,(G7*'Assumptions'!$E$33*G9+G48+G49+G42+G24+G29)*(1+'Assumptions'!$E$114)*(1+'Assumptions'!$E$139),G11*'Assumptions'!$E$13*(1+'Assumptions'!$E$139))</x:f>
        <x:v>3501285.4800000004</x:v>
      </x:c>
      <x:c r="H75" s="18" t="n">
        <x:f>IF('Assumptions'!$E$4=5,(H7*'Assumptions'!$E$33*H9+H48+H49+H42+H24+H29)*(1+'Assumptions'!$E$114)*(1+'Assumptions'!$E$139),H11*'Assumptions'!$E$13*(1+'Assumptions'!$E$139))</x:f>
        <x:v>5306392.6608</x:v>
      </x:c>
      <x:c r="I75" s="18" t="n">
        <x:f>IF('Assumptions'!$E$4=5,(I7*'Assumptions'!$E$33*I9+I48+I49+I42+I24+I29)*(1+'Assumptions'!$E$114)*(1+'Assumptions'!$E$139),I11*'Assumptions'!$E$13*(1+'Assumptions'!$E$139))</x:f>
        <x:v>7235989.9920000015</x:v>
      </x:c>
      <x:c r="J75" s="18" t="n">
        <x:f>IF('Assumptions'!$E$4=5,(J7*'Assumptions'!$E$33*J9+J48+J49+J42+J24+J29)*(1+'Assumptions'!$E$114)*(1+'Assumptions'!$E$139),J11*'Assumptions'!$E$13*(1+'Assumptions'!$E$139))</x:f>
        <x:v>8714310.528</x:v>
      </x:c>
      <x:c r="K75" s="18" t="n">
        <x:f>IF('Assumptions'!$E$4=5,(K7*'Assumptions'!$E$33*K9+K48+K49+K42+K24+K29)*(1+'Assumptions'!$E$114)*(1+'Assumptions'!$E$139),K11*'Assumptions'!$E$13*(1+'Assumptions'!$E$139))</x:f>
        <x:v>12059983.320000002</x:v>
      </x:c>
      <x:c r="L75" s="18" t="n">
        <x:f>IF('Assumptions'!$E$4=5,(L7*'Assumptions'!$E$33*L9+L48+L49+L42+L24+L29)*(1+'Assumptions'!$E$114)*(1+'Assumptions'!$E$139),L11*'Assumptions'!$E$13*(1+'Assumptions'!$E$139))</x:f>
        <x:v>14005141.920000002</x:v>
      </x:c>
      <x:c r="M75" s="18" t="n">
        <x:f>IF('Assumptions'!$E$4=5,(M7*'Assumptions'!$E$33*M9+M48+M49+M42+M24+M29)*(1+'Assumptions'!$E$114)*(1+'Assumptions'!$E$139),M11*'Assumptions'!$E$13*(1+'Assumptions'!$E$139))</x:f>
        <x:v>16883976.648000002</x:v>
      </x:c>
      <x:c r="N75" s="18" t="n">
        <x:f>IF('Assumptions'!$E$4=5,(N7*'Assumptions'!$E$33*N9+N48+N49+N42+N24+N29)*(1+'Assumptions'!$E$114)*(1+'Assumptions'!$E$139),N11*'Assumptions'!$E$13*(1+'Assumptions'!$E$139))</x:f>
        <x:v>18673522.560000002</x:v>
      </x:c>
      <x:c r="O75" s="18" t="n">
        <x:f>IF('Assumptions'!$E$4=5,(O7*'Assumptions'!$E$33*O9+O48+O49+O42+O24+O29)*(1+'Assumptions'!$E$114)*(1+'Assumptions'!$E$139),O11*'Assumptions'!$E$13*(1+'Assumptions'!$E$139))</x:f>
        <x:v>21707969.976000004</x:v>
      </x:c>
      <x:c r="P75" s="18" t="n">
        <x:f>IF('Assumptions'!$E$4=5,(P7*'Assumptions'!$E$33*P9+P48+P49+P42+P24+P29)*(1+'Assumptions'!$E$114)*(1+'Assumptions'!$E$139),P11*'Assumptions'!$E$13*(1+'Assumptions'!$E$139))</x:f>
        <x:v>24119966.640000004</x:v>
      </x:c>
      <x:c r="Q75" s="18" t="n">
        <x:f>IF('Assumptions'!$E$4=5,(Q7*'Assumptions'!$E$33*Q9+Q48+Q49+Q42+Q24+Q29)*(1+'Assumptions'!$E$114)*(1+'Assumptions'!$E$139),Q11*'Assumptions'!$E$13*(1+'Assumptions'!$E$139))</x:f>
        <x:v>23341903.200000003</x:v>
      </x:c>
    </x:row>
    <x:row r="76" ht="21" customHeight="1">
      <x:c r="A76" s="1"/>
      <x:c r="B76" s="1"/>
      <x:c r="C76" s="1" t="str">
        <x:v>Worker CPU milliseconds</x:v>
      </x:c>
      <x:c r="D76" s="18" t="n">
        <x:f>SUM(F76:Q76)</x:f>
        <x:v>788645102.7840002</x:v>
      </x:c>
      <x:c r="E76" s="18"/>
      <x:c r="F76" s="18" t="n">
        <x:f>F75*'Assumptions'!$E$135</x:f>
        <x:v>10892888.16</x:v>
      </x:c>
      <x:c r="G76" s="18" t="n">
        <x:f>G75*'Assumptions'!$E$135</x:f>
        <x:v>17506427.400000002</x:v>
      </x:c>
      <x:c r="H76" s="18" t="n">
        <x:f>H75*'Assumptions'!$E$135</x:f>
        <x:v>26531963.303999998</x:v>
      </x:c>
      <x:c r="I76" s="18" t="n">
        <x:f>I75*'Assumptions'!$E$135</x:f>
        <x:v>36179949.96000001</x:v>
      </x:c>
      <x:c r="J76" s="18" t="n">
        <x:f>J75*'Assumptions'!$E$135</x:f>
        <x:v>43571552.64</x:v>
      </x:c>
      <x:c r="K76" s="18" t="n">
        <x:f>K75*'Assumptions'!$E$135</x:f>
        <x:v>60299916.60000001</x:v>
      </x:c>
      <x:c r="L76" s="18" t="n">
        <x:f>L75*'Assumptions'!$E$135</x:f>
        <x:v>70025709.60000001</x:v>
      </x:c>
      <x:c r="M76" s="18" t="n">
        <x:f>M75*'Assumptions'!$E$135</x:f>
        <x:v>84419883.24000001</x:v>
      </x:c>
      <x:c r="N76" s="18" t="n">
        <x:f>N75*'Assumptions'!$E$135</x:f>
        <x:v>93367612.80000001</x:v>
      </x:c>
      <x:c r="O76" s="18" t="n">
        <x:f>O75*'Assumptions'!$E$135</x:f>
        <x:v>108539849.88000003</x:v>
      </x:c>
      <x:c r="P76" s="18" t="n">
        <x:f>P75*'Assumptions'!$E$135</x:f>
        <x:v>120599833.20000002</x:v>
      </x:c>
      <x:c r="Q76" s="18" t="n">
        <x:f>Q75*'Assumptions'!$E$135</x:f>
        <x:v>116709516.00000001</x:v>
      </x:c>
    </x:row>
    <x:row r="77" ht="21" customHeight="1">
      <x:c r="A77" s="1"/>
      <x:c r="B77" s="1"/>
      <x:c r="C77" s="1" t="str">
        <x:v>Backend-object requests</x:v>
      </x:c>
      <x:c r="D77" s="18" t="n">
        <x:f>SUM(F77:Q77)</x:f>
        <x:v>572907969.1104001</x:v>
      </x:c>
      <x:c r="E77" s="18"/>
      <x:c r="F77" s="18" t="n">
        <x:f>IF('Assumptions'!$E$4=5,(F7*'Assumptions'!$E$34*F9+F47+F43+F25+F30+F48*'Assumptions'!$E$117+F50)*(1+'Assumptions'!$E$114)*(1+'Assumptions'!$E$139),F11*'Assumptions'!$E$14*(1+'Assumptions'!$E$139))</x:f>
        <x:v>7913093.496000001</x:v>
      </x:c>
      <x:c r="G77" s="18" t="n">
        <x:f>IF('Assumptions'!$E$4=5,(G7*'Assumptions'!$E$34*G9+G47+G43+G25+G30+G48*'Assumptions'!$E$117+G50)*(1+'Assumptions'!$E$114)*(1+'Assumptions'!$E$139),G11*'Assumptions'!$E$14*(1+'Assumptions'!$E$139))</x:f>
        <x:v>12717471.690000001</x:v>
      </x:c>
      <x:c r="H77" s="18" t="n">
        <x:f>IF('Assumptions'!$E$4=5,(H7*'Assumptions'!$E$34*H9+H47+H43+H25+H30+H48*'Assumptions'!$E$117+H50)*(1+'Assumptions'!$E$114)*(1+'Assumptions'!$E$139),H11*'Assumptions'!$E$14*(1+'Assumptions'!$E$139))</x:f>
        <x:v>19274034.8724</x:v>
      </x:c>
      <x:c r="I77" s="18" t="n">
        <x:f>IF('Assumptions'!$E$4=5,(I7*'Assumptions'!$E$34*I9+I47+I43+I25+I30+I48*'Assumptions'!$E$117+I50)*(1+'Assumptions'!$E$114)*(1+'Assumptions'!$E$139),I11*'Assumptions'!$E$14*(1+'Assumptions'!$E$139))</x:f>
        <x:v>26282774.826</x:v>
      </x:c>
      <x:c r="J77" s="18" t="n">
        <x:f>IF('Assumptions'!$E$4=5,(J7*'Assumptions'!$E$34*J9+J47+J43+J25+J30+J48*'Assumptions'!$E$117+J50)*(1+'Assumptions'!$E$114)*(1+'Assumptions'!$E$139),J11*'Assumptions'!$E$14*(1+'Assumptions'!$E$139))</x:f>
        <x:v>31652373.984000005</x:v>
      </x:c>
      <x:c r="K77" s="18" t="n">
        <x:f>IF('Assumptions'!$E$4=5,(K7*'Assumptions'!$E$34*K9+K47+K43+K25+K30+K48*'Assumptions'!$E$117+K50)*(1+'Assumptions'!$E$114)*(1+'Assumptions'!$E$139),K11*'Assumptions'!$E$14*(1+'Assumptions'!$E$139))</x:f>
        <x:v>43804624.71000001</x:v>
      </x:c>
      <x:c r="L77" s="18" t="n">
        <x:f>IF('Assumptions'!$E$4=5,(L7*'Assumptions'!$E$34*L9+L47+L43+L25+L30+L48*'Assumptions'!$E$117+L50)*(1+'Assumptions'!$E$114)*(1+'Assumptions'!$E$139),L11*'Assumptions'!$E$14*(1+'Assumptions'!$E$139))</x:f>
        <x:v>50869886.760000005</x:v>
      </x:c>
      <x:c r="M77" s="18" t="n">
        <x:f>IF('Assumptions'!$E$4=5,(M7*'Assumptions'!$E$34*M9+M47+M43+M25+M30+M48*'Assumptions'!$E$117+M50)*(1+'Assumptions'!$E$114)*(1+'Assumptions'!$E$139),M11*'Assumptions'!$E$14*(1+'Assumptions'!$E$139))</x:f>
        <x:v>61326474.59400001</x:v>
      </x:c>
      <x:c r="N77" s="18" t="n">
        <x:f>IF('Assumptions'!$E$4=5,(N7*'Assumptions'!$E$34*N9+N47+N43+N25+N30+N48*'Assumptions'!$E$117+N50)*(1+'Assumptions'!$E$114)*(1+'Assumptions'!$E$139),N11*'Assumptions'!$E$14*(1+'Assumptions'!$E$139))</x:f>
        <x:v>67826515.68</x:v>
      </x:c>
      <x:c r="O77" s="18" t="n">
        <x:f>IF('Assumptions'!$E$4=5,(O7*'Assumptions'!$E$34*O9+O47+O43+O25+O30+O48*'Assumptions'!$E$117+O50)*(1+'Assumptions'!$E$114)*(1+'Assumptions'!$E$139),O11*'Assumptions'!$E$14*(1+'Assumptions'!$E$139))</x:f>
        <x:v>78848324.47800003</x:v>
      </x:c>
      <x:c r="P77" s="18" t="n">
        <x:f>IF('Assumptions'!$E$4=5,(P7*'Assumptions'!$E$34*P9+P47+P43+P25+P30+P48*'Assumptions'!$E$117+P50)*(1+'Assumptions'!$E$114)*(1+'Assumptions'!$E$139),P11*'Assumptions'!$E$14*(1+'Assumptions'!$E$139))</x:f>
        <x:v>87609249.42000002</x:v>
      </x:c>
      <x:c r="Q77" s="18" t="n">
        <x:f>IF('Assumptions'!$E$4=5,(Q7*'Assumptions'!$E$34*Q9+Q47+Q43+Q25+Q30+Q48*'Assumptions'!$E$117+Q50)*(1+'Assumptions'!$E$114)*(1+'Assumptions'!$E$139),Q11*'Assumptions'!$E$14*(1+'Assumptions'!$E$139))</x:f>
        <x:v>84783144.60000001</x:v>
      </x:c>
    </x:row>
    <x:row r="78" ht="21" customHeight="1">
      <x:c r="A78" s="1"/>
      <x:c r="B78" s="1"/>
      <x:c r="C78" s="1" t="str">
        <x:v>Backend-object GB-seconds</x:v>
      </x:c>
      <x:c r="D78" s="18" t="n">
        <x:f>SUM(F78:Q78)</x:f>
        <x:v>940510.4684236803</x:v>
      </x:c>
      <x:c r="E78" s="18"/>
      <x:c r="F78" s="18" t="n">
        <x:f>IF('Assumptions'!$E$4=5,(F7*'Assumptions'!$E$35*F9+F46*'Assumptions'!$E$37+F43*'Assumptions'!$E$57+F25*'Assumptions'!$E$42+F30*'Assumptions'!$E$49+F53)*'Assumptions'!$E$138*(1+'Assumptions'!$E$114)*(1+'Assumptions'!$E$139),(F7*'Assumptions'!$I$24*F9*8*3600*'Assumptions'!$E$17*(1+'Assumptions'!$E$139)+'Assumptions'!$E$136*F9*86400*'Assumptions'!$E$137)*'Assumptions'!$E$138)</x:f>
        <x:v>12990.476083200001</x:v>
      </x:c>
      <x:c r="G78" s="18" t="n">
        <x:f>IF('Assumptions'!$E$4=5,(G7*'Assumptions'!$E$35*G9+G46*'Assumptions'!$E$37+G43*'Assumptions'!$E$57+G25*'Assumptions'!$E$42+G30*'Assumptions'!$E$49+G53)*'Assumptions'!$E$138*(1+'Assumptions'!$E$114)*(1+'Assumptions'!$E$139),(G7*'Assumptions'!$I$24*G9*8*3600*'Assumptions'!$E$17*(1+'Assumptions'!$E$139)+'Assumptions'!$E$136*G9*86400*'Assumptions'!$E$137)*'Assumptions'!$E$138)</x:f>
        <x:v>20877.550848000006</x:v>
      </x:c>
      <x:c r="H78" s="18" t="n">
        <x:f>IF('Assumptions'!$E$4=5,(H7*'Assumptions'!$E$35*H9+H46*'Assumptions'!$E$37+H43*'Assumptions'!$E$57+H25*'Assumptions'!$E$42+H30*'Assumptions'!$E$49+H53)*'Assumptions'!$E$138*(1+'Assumptions'!$E$114)*(1+'Assumptions'!$E$139),(H7*'Assumptions'!$I$24*H9*8*3600*'Assumptions'!$E$17*(1+'Assumptions'!$E$139)+'Assumptions'!$E$136*H9*86400*'Assumptions'!$E$137)*'Assumptions'!$E$138)</x:f>
        <x:v>31641.088174080007</x:v>
      </x:c>
      <x:c r="I78" s="18" t="n">
        <x:f>IF('Assumptions'!$E$4=5,(I7*'Assumptions'!$E$35*I9+I46*'Assumptions'!$E$37+I43*'Assumptions'!$E$57+I25*'Assumptions'!$E$42+I30*'Assumptions'!$E$49+I53)*'Assumptions'!$E$138*(1+'Assumptions'!$E$114)*(1+'Assumptions'!$E$139),(I7*'Assumptions'!$I$24*I9*8*3600*'Assumptions'!$E$17*(1+'Assumptions'!$E$139)+'Assumptions'!$E$136*I9*86400*'Assumptions'!$E$137)*'Assumptions'!$E$138)</x:f>
        <x:v>43146.93841920001</x:v>
      </x:c>
      <x:c r="J78" s="18" t="n">
        <x:f>IF('Assumptions'!$E$4=5,(J7*'Assumptions'!$E$35*J9+J46*'Assumptions'!$E$37+J43*'Assumptions'!$E$57+J25*'Assumptions'!$E$42+J30*'Assumptions'!$E$49+J53)*'Assumptions'!$E$138*(1+'Assumptions'!$E$114)*(1+'Assumptions'!$E$139),(J7*'Assumptions'!$I$24*J9*8*3600*'Assumptions'!$E$17*(1+'Assumptions'!$E$139)+'Assumptions'!$E$136*J9*86400*'Assumptions'!$E$137)*'Assumptions'!$E$138)</x:f>
        <x:v>51961.904332800004</x:v>
      </x:c>
      <x:c r="K78" s="18" t="n">
        <x:f>IF('Assumptions'!$E$4=5,(K7*'Assumptions'!$E$35*K9+K46*'Assumptions'!$E$37+K43*'Assumptions'!$E$57+K25*'Assumptions'!$E$42+K30*'Assumptions'!$E$49+K53)*'Assumptions'!$E$138*(1+'Assumptions'!$E$114)*(1+'Assumptions'!$E$139),(K7*'Assumptions'!$I$24*K9*8*3600*'Assumptions'!$E$17*(1+'Assumptions'!$E$139)+'Assumptions'!$E$136*K9*86400*'Assumptions'!$E$137)*'Assumptions'!$E$138)</x:f>
        <x:v>71911.56403200001</x:v>
      </x:c>
      <x:c r="L78" s="18" t="n">
        <x:f>IF('Assumptions'!$E$4=5,(L7*'Assumptions'!$E$35*L9+L46*'Assumptions'!$E$37+L43*'Assumptions'!$E$57+L25*'Assumptions'!$E$42+L30*'Assumptions'!$E$49+L53)*'Assumptions'!$E$138*(1+'Assumptions'!$E$114)*(1+'Assumptions'!$E$139),(L7*'Assumptions'!$I$24*L9*8*3600*'Assumptions'!$E$17*(1+'Assumptions'!$E$139)+'Assumptions'!$E$136*L9*86400*'Assumptions'!$E$137)*'Assumptions'!$E$138)</x:f>
        <x:v>83510.20339200002</x:v>
      </x:c>
      <x:c r="M78" s="18" t="n">
        <x:f>IF('Assumptions'!$E$4=5,(M7*'Assumptions'!$E$35*M9+M46*'Assumptions'!$E$37+M43*'Assumptions'!$E$57+M25*'Assumptions'!$E$42+M30*'Assumptions'!$E$49+M53)*'Assumptions'!$E$138*(1+'Assumptions'!$E$114)*(1+'Assumptions'!$E$139),(M7*'Assumptions'!$I$24*M9*8*3600*'Assumptions'!$E$17*(1+'Assumptions'!$E$139)+'Assumptions'!$E$136*M9*86400*'Assumptions'!$E$137)*'Assumptions'!$E$138)</x:f>
        <x:v>100676.1896448</x:v>
      </x:c>
      <x:c r="N78" s="18" t="n">
        <x:f>IF('Assumptions'!$E$4=5,(N7*'Assumptions'!$E$35*N9+N46*'Assumptions'!$E$37+N43*'Assumptions'!$E$57+N25*'Assumptions'!$E$42+N30*'Assumptions'!$E$49+N53)*'Assumptions'!$E$138*(1+'Assumptions'!$E$114)*(1+'Assumptions'!$E$139),(N7*'Assumptions'!$I$24*N9*8*3600*'Assumptions'!$E$17*(1+'Assumptions'!$E$139)+'Assumptions'!$E$136*N9*86400*'Assumptions'!$E$137)*'Assumptions'!$E$138)</x:f>
        <x:v>111346.93785600002</x:v>
      </x:c>
      <x:c r="O78" s="18" t="n">
        <x:f>IF('Assumptions'!$E$4=5,(O7*'Assumptions'!$E$35*O9+O46*'Assumptions'!$E$37+O43*'Assumptions'!$E$57+O25*'Assumptions'!$E$42+O30*'Assumptions'!$E$49+O53)*'Assumptions'!$E$138*(1+'Assumptions'!$E$114)*(1+'Assumptions'!$E$139),(O7*'Assumptions'!$I$24*O9*8*3600*'Assumptions'!$E$17*(1+'Assumptions'!$E$139)+'Assumptions'!$E$136*O9*86400*'Assumptions'!$E$137)*'Assumptions'!$E$138)</x:f>
        <x:v>129440.81525760001</x:v>
      </x:c>
      <x:c r="P78" s="18" t="n">
        <x:f>IF('Assumptions'!$E$4=5,(P7*'Assumptions'!$E$35*P9+P46*'Assumptions'!$E$37+P43*'Assumptions'!$E$57+P25*'Assumptions'!$E$42+P30*'Assumptions'!$E$49+P53)*'Assumptions'!$E$138*(1+'Assumptions'!$E$114)*(1+'Assumptions'!$E$139),(P7*'Assumptions'!$I$24*P9*8*3600*'Assumptions'!$E$17*(1+'Assumptions'!$E$139)+'Assumptions'!$E$136*P9*86400*'Assumptions'!$E$137)*'Assumptions'!$E$138)</x:f>
        <x:v>143823.12806400002</x:v>
      </x:c>
      <x:c r="Q78" s="18" t="n">
        <x:f>IF('Assumptions'!$E$4=5,(Q7*'Assumptions'!$E$35*Q9+Q46*'Assumptions'!$E$37+Q43*'Assumptions'!$E$57+Q25*'Assumptions'!$E$42+Q30*'Assumptions'!$E$49+Q53)*'Assumptions'!$E$138*(1+'Assumptions'!$E$114)*(1+'Assumptions'!$E$139),(Q7*'Assumptions'!$I$24*Q9*8*3600*'Assumptions'!$E$17*(1+'Assumptions'!$E$139)+'Assumptions'!$E$136*Q9*86400*'Assumptions'!$E$137)*'Assumptions'!$E$138)</x:f>
        <x:v>139183.67232</x:v>
      </x:c>
    </x:row>
    <x:row r="79" ht="21" customHeight="1">
      <x:c r="A79" s="1"/>
      <x:c r="B79" s="1"/>
      <x:c r="C79" s="1" t="str">
        <x:v>SQLite rows read</x:v>
      </x:c>
      <x:c r="D79" s="18" t="n">
        <x:f>SUM(F79:Q79)</x:f>
        <x:v>2804044680.36</x:v>
      </x:c>
      <x:c r="E79" s="18"/>
      <x:c r="F79" s="18" t="n">
        <x:f>IF('Assumptions'!$E$4=5,(F7*'Assumptions'!$E$80*F9+F32*'Assumptions'!$E$71+F34*'Assumptions'!$E$73+F26+F31+F20+F59+F44+F51)*(1+'Assumptions'!$E$114)*(1+'Assumptions'!$E$139),F11*'Assumptions'!$E$15*(1+'Assumptions'!$E$139))</x:f>
        <x:v>38729898.900000006</x:v>
      </x:c>
      <x:c r="G79" s="18" t="n">
        <x:f>IF('Assumptions'!$E$4=5,(G7*'Assumptions'!$E$80*G9+G32*'Assumptions'!$E$71+G34*'Assumptions'!$E$73+G26+G31+G20+G59+G44+G51)*(1+'Assumptions'!$E$114)*(1+'Assumptions'!$E$139),G11*'Assumptions'!$E$15*(1+'Assumptions'!$E$139))</x:f>
        <x:v>62244480.37500001</x:v>
      </x:c>
      <x:c r="H79" s="18" t="n">
        <x:f>IF('Assumptions'!$E$4=5,(H7*'Assumptions'!$E$80*H9+H32*'Assumptions'!$E$71+H34*'Assumptions'!$E$73+H26+H31+H20+H59+H44+H51)*(1+'Assumptions'!$E$114)*(1+'Assumptions'!$E$139),H11*'Assumptions'!$E$15*(1+'Assumptions'!$E$139))</x:f>
        <x:v>94334968.035</x:v>
      </x:c>
      <x:c r="I79" s="18" t="n">
        <x:f>IF('Assumptions'!$E$4=5,(I7*'Assumptions'!$E$80*I9+I32*'Assumptions'!$E$71+I34*'Assumptions'!$E$73+I26+I31+I20+I59+I44+I51)*(1+'Assumptions'!$E$114)*(1+'Assumptions'!$E$139),I11*'Assumptions'!$E$15*(1+'Assumptions'!$E$139))</x:f>
        <x:v>128638592.775</x:v>
      </x:c>
      <x:c r="J79" s="18" t="n">
        <x:f>IF('Assumptions'!$E$4=5,(J7*'Assumptions'!$E$80*J9+J32*'Assumptions'!$E$71+J34*'Assumptions'!$E$73+J26+J31+J20+J59+J44+J51)*(1+'Assumptions'!$E$114)*(1+'Assumptions'!$E$139),J11*'Assumptions'!$E$15*(1+'Assumptions'!$E$139))</x:f>
        <x:v>154919595.60000002</x:v>
      </x:c>
      <x:c r="K79" s="18" t="n">
        <x:f>IF('Assumptions'!$E$4=5,(K7*'Assumptions'!$E$80*K9+K32*'Assumptions'!$E$71+K34*'Assumptions'!$E$73+K26+K31+K20+K59+K44+K51)*(1+'Assumptions'!$E$114)*(1+'Assumptions'!$E$139),K11*'Assumptions'!$E$15*(1+'Assumptions'!$E$139))</x:f>
        <x:v>214397654.62500003</x:v>
      </x:c>
      <x:c r="L79" s="18" t="n">
        <x:f>IF('Assumptions'!$E$4=5,(L7*'Assumptions'!$E$80*L9+L32*'Assumptions'!$E$71+L34*'Assumptions'!$E$73+L26+L31+L20+L59+L44+L51)*(1+'Assumptions'!$E$114)*(1+'Assumptions'!$E$139),L11*'Assumptions'!$E$15*(1+'Assumptions'!$E$139))</x:f>
        <x:v>248977921.50000003</x:v>
      </x:c>
      <x:c r="M79" s="18" t="n">
        <x:f>IF('Assumptions'!$E$4=5,(M7*'Assumptions'!$E$80*M9+M32*'Assumptions'!$E$71+M34*'Assumptions'!$E$73+M26+M31+M20+M59+M44+M51)*(1+'Assumptions'!$E$114)*(1+'Assumptions'!$E$139),M11*'Assumptions'!$E$15*(1+'Assumptions'!$E$139))</x:f>
        <x:v>300156716.475</x:v>
      </x:c>
      <x:c r="N79" s="18" t="n">
        <x:f>IF('Assumptions'!$E$4=5,(N7*'Assumptions'!$E$80*N9+N32*'Assumptions'!$E$71+N34*'Assumptions'!$E$73+N26+N31+N20+N59+N44+N51)*(1+'Assumptions'!$E$114)*(1+'Assumptions'!$E$139),N11*'Assumptions'!$E$15*(1+'Assumptions'!$E$139))</x:f>
        <x:v>331970562</x:v>
      </x:c>
      <x:c r="O79" s="18" t="n">
        <x:f>IF('Assumptions'!$E$4=5,(O7*'Assumptions'!$E$80*O9+O32*'Assumptions'!$E$71+O34*'Assumptions'!$E$73+O26+O31+O20+O59+O44+O51)*(1+'Assumptions'!$E$114)*(1+'Assumptions'!$E$139),O11*'Assumptions'!$E$15*(1+'Assumptions'!$E$139))</x:f>
        <x:v>385915778.32500005</x:v>
      </x:c>
      <x:c r="P79" s="18" t="n">
        <x:f>IF('Assumptions'!$E$4=5,(P7*'Assumptions'!$E$80*P9+P32*'Assumptions'!$E$71+P34*'Assumptions'!$E$73+P26+P31+P20+P59+P44+P51)*(1+'Assumptions'!$E$114)*(1+'Assumptions'!$E$139),P11*'Assumptions'!$E$15*(1+'Assumptions'!$E$139))</x:f>
        <x:v>428795309.25000006</x:v>
      </x:c>
      <x:c r="Q79" s="18" t="n">
        <x:f>IF('Assumptions'!$E$4=5,(Q7*'Assumptions'!$E$80*Q9+Q32*'Assumptions'!$E$71+Q34*'Assumptions'!$E$73+Q26+Q31+Q20+Q59+Q44+Q51)*(1+'Assumptions'!$E$114)*(1+'Assumptions'!$E$139),Q11*'Assumptions'!$E$15*(1+'Assumptions'!$E$139))</x:f>
        <x:v>414963202.50000006</x:v>
      </x:c>
    </x:row>
    <x:row r="80" ht="21" customHeight="1">
      <x:c r="A80" s="1"/>
      <x:c r="B80" s="1"/>
      <x:c r="C80" s="1" t="str">
        <x:v>SQLite rows written</x:v>
      </x:c>
      <x:c r="D80" s="18" t="n">
        <x:f>SUM(F80:Q80)</x:f>
        <x:v>84841208.76</x:v>
      </x:c>
      <x:c r="E80" s="18"/>
      <x:c r="F80" s="18" t="n">
        <x:f>IF('Assumptions'!$E$4=5,(F7*'Assumptions'!$E$81*F9+F32*('Assumptions'!$E$69+'Assumptions'!$E$70)+F34*'Assumptions'!$E$72+F20+F58*(4+2*'Assumptions'!$E$90)+F61*'Assumptions'!$E$102+F65*'Assumptions'!$E$103+F45+F52)*(1+'Assumptions'!$E$114)*(1+'Assumptions'!$E$139),F11*'Assumptions'!$E$16*(1+'Assumptions'!$E$139))</x:f>
        <x:v>1171839.9000000001</x:v>
      </x:c>
      <x:c r="G80" s="18" t="n">
        <x:f>IF('Assumptions'!$E$4=5,(G7*'Assumptions'!$E$81*G9+G32*('Assumptions'!$E$69+'Assumptions'!$E$70)+G34*'Assumptions'!$E$72+G20+G58*(4+2*'Assumptions'!$E$90)+G61*'Assumptions'!$E$102+G65*'Assumptions'!$E$103+G45+G52)*(1+'Assumptions'!$E$114)*(1+'Assumptions'!$E$139),G11*'Assumptions'!$E$16*(1+'Assumptions'!$E$139))</x:f>
        <x:v>1883314.1250000002</x:v>
      </x:c>
      <x:c r="H80" s="18" t="n">
        <x:f>IF('Assumptions'!$E$4=5,(H7*'Assumptions'!$E$81*H9+H32*('Assumptions'!$E$69+'Assumptions'!$E$70)+H34*'Assumptions'!$E$72+H20+H58*(4+2*'Assumptions'!$E$90)+H61*'Assumptions'!$E$102+H65*'Assumptions'!$E$103+H45+H52)*(1+'Assumptions'!$E$114)*(1+'Assumptions'!$E$139),H11*'Assumptions'!$E$16*(1+'Assumptions'!$E$139))</x:f>
        <x:v>2854267.1850000005</x:v>
      </x:c>
      <x:c r="I80" s="18" t="n">
        <x:f>IF('Assumptions'!$E$4=5,(I7*'Assumptions'!$E$81*I9+I32*('Assumptions'!$E$69+'Assumptions'!$E$70)+I34*'Assumptions'!$E$72+I20+I58*(4+2*'Assumptions'!$E$90)+I61*'Assumptions'!$E$102+I65*'Assumptions'!$E$103+I45+I52)*(1+'Assumptions'!$E$114)*(1+'Assumptions'!$E$139),I11*'Assumptions'!$E$16*(1+'Assumptions'!$E$139))</x:f>
        <x:v>3892182.5250000004</x:v>
      </x:c>
      <x:c r="J80" s="18" t="n">
        <x:f>IF('Assumptions'!$E$4=5,(J7*'Assumptions'!$E$81*J9+J32*('Assumptions'!$E$69+'Assumptions'!$E$70)+J34*'Assumptions'!$E$72+J20+J58*(4+2*'Assumptions'!$E$90)+J61*'Assumptions'!$E$102+J65*'Assumptions'!$E$103+J45+J52)*(1+'Assumptions'!$E$114)*(1+'Assumptions'!$E$139),J11*'Assumptions'!$E$16*(1+'Assumptions'!$E$139))</x:f>
        <x:v>4687359.600000001</x:v>
      </x:c>
      <x:c r="K80" s="18" t="n">
        <x:f>IF('Assumptions'!$E$4=5,(K7*'Assumptions'!$E$81*K9+K32*('Assumptions'!$E$69+'Assumptions'!$E$70)+K34*'Assumptions'!$E$72+K20+K58*(4+2*'Assumptions'!$E$90)+K61*'Assumptions'!$E$102+K65*'Assumptions'!$E$103+K45+K52)*(1+'Assumptions'!$E$114)*(1+'Assumptions'!$E$139),K11*'Assumptions'!$E$16*(1+'Assumptions'!$E$139))</x:f>
        <x:v>6486970.875000001</x:v>
      </x:c>
      <x:c r="L80" s="18" t="n">
        <x:f>IF('Assumptions'!$E$4=5,(L7*'Assumptions'!$E$81*L9+L32*('Assumptions'!$E$69+'Assumptions'!$E$70)+L34*'Assumptions'!$E$72+L20+L58*(4+2*'Assumptions'!$E$90)+L61*'Assumptions'!$E$102+L65*'Assumptions'!$E$103+L45+L52)*(1+'Assumptions'!$E$114)*(1+'Assumptions'!$E$139),L11*'Assumptions'!$E$16*(1+'Assumptions'!$E$139))</x:f>
        <x:v>7533256.500000001</x:v>
      </x:c>
      <x:c r="M80" s="18" t="n">
        <x:f>IF('Assumptions'!$E$4=5,(M7*'Assumptions'!$E$81*M9+M32*('Assumptions'!$E$69+'Assumptions'!$E$70)+M34*'Assumptions'!$E$72+M20+M58*(4+2*'Assumptions'!$E$90)+M61*'Assumptions'!$E$102+M65*'Assumptions'!$E$103+M45+M52)*(1+'Assumptions'!$E$114)*(1+'Assumptions'!$E$139),M11*'Assumptions'!$E$16*(1+'Assumptions'!$E$139))</x:f>
        <x:v>9081759.225000001</x:v>
      </x:c>
      <x:c r="N80" s="18" t="n">
        <x:f>IF('Assumptions'!$E$4=5,(N7*'Assumptions'!$E$81*N9+N32*('Assumptions'!$E$69+'Assumptions'!$E$70)+N34*'Assumptions'!$E$72+N20+N58*(4+2*'Assumptions'!$E$90)+N61*'Assumptions'!$E$102+N65*'Assumptions'!$E$103+N45+N52)*(1+'Assumptions'!$E$114)*(1+'Assumptions'!$E$139),N11*'Assumptions'!$E$16*(1+'Assumptions'!$E$139))</x:f>
        <x:v>10044342</x:v>
      </x:c>
      <x:c r="O80" s="18" t="n">
        <x:f>IF('Assumptions'!$E$4=5,(O7*'Assumptions'!$E$81*O9+O32*('Assumptions'!$E$69+'Assumptions'!$E$70)+O34*'Assumptions'!$E$72+O20+O58*(4+2*'Assumptions'!$E$90)+O61*'Assumptions'!$E$102+O65*'Assumptions'!$E$103+O45+O52)*(1+'Assumptions'!$E$114)*(1+'Assumptions'!$E$139),O11*'Assumptions'!$E$16*(1+'Assumptions'!$E$139))</x:f>
        <x:v>11676547.575000001</x:v>
      </x:c>
      <x:c r="P80" s="18" t="n">
        <x:f>IF('Assumptions'!$E$4=5,(P7*'Assumptions'!$E$81*P9+P32*('Assumptions'!$E$69+'Assumptions'!$E$70)+P34*'Assumptions'!$E$72+P20+P58*(4+2*'Assumptions'!$E$90)+P61*'Assumptions'!$E$102+P65*'Assumptions'!$E$103+P45+P52)*(1+'Assumptions'!$E$114)*(1+'Assumptions'!$E$139),P11*'Assumptions'!$E$16*(1+'Assumptions'!$E$139))</x:f>
        <x:v>12973941.750000002</x:v>
      </x:c>
      <x:c r="Q80" s="18" t="n">
        <x:f>IF('Assumptions'!$E$4=5,(Q7*'Assumptions'!$E$81*Q9+Q32*('Assumptions'!$E$69+'Assumptions'!$E$70)+Q34*'Assumptions'!$E$72+Q20+Q58*(4+2*'Assumptions'!$E$90)+Q61*'Assumptions'!$E$102+Q65*'Assumptions'!$E$103+Q45+Q52)*(1+'Assumptions'!$E$114)*(1+'Assumptions'!$E$139),Q11*'Assumptions'!$E$16*(1+'Assumptions'!$E$139))</x:f>
        <x:v>12555427.500000002</x:v>
      </x:c>
    </x:row>
    <x:row r="81" ht="21" customHeight="1">
      <x:c r="A81" s="1"/>
      <x:c r="B81" s="1"/>
      <x:c r="C81" s="1" t="str">
        <x:v>SQLite GB-month</x:v>
      </x:c>
      <x:c r="D81" s="30" t="n">
        <x:f>SUM(F81:Q81)</x:f>
        <x:v>163.366936832</x:v>
      </x:c>
      <x:c r="E81" s="30"/>
      <x:c r="F81" s="30" t="n">
        <x:f>IF('Assumptions'!$E$4=5,(F10*'Assumptions'!$E$85+F55*'Assumptions'!$E$75)/1000000000*(1+'Assumptions'!$E$139)+F69*(1+'Assumptions'!$E$139),F10*'Assumptions'!$E$128*(1+'Assumptions'!$E$139))</x:f>
        <x:v>2.4430771200000003</x:v>
      </x:c>
      <x:c r="G81" s="30" t="n">
        <x:f>IF('Assumptions'!$E$4=5,(G10*'Assumptions'!$E$85+G55*'Assumptions'!$E$75)/1000000000*(1+'Assumptions'!$E$139)+G69*(1+'Assumptions'!$E$139),G10*'Assumptions'!$E$128*(1+'Assumptions'!$E$139))</x:f>
        <x:v>3.6663616</x:v>
      </x:c>
      <x:c r="H81" s="30" t="n">
        <x:f>IF('Assumptions'!$E$4=5,(H10*'Assumptions'!$E$85+H55*'Assumptions'!$E$75)/1000000000*(1+'Assumptions'!$E$139)+H69*(1+'Assumptions'!$E$139),H10*'Assumptions'!$E$128*(1+'Assumptions'!$E$139))</x:f>
        <x:v>5.379252736000001</x:v>
      </x:c>
      <x:c r="I81" s="30" t="n">
        <x:f>IF('Assumptions'!$E$4=5,(I10*'Assumptions'!$E$85+I55*'Assumptions'!$E$75)/1000000000*(1+'Assumptions'!$E$139)+I69*(1+'Assumptions'!$E$139),I10*'Assumptions'!$E$128*(1+'Assumptions'!$E$139))</x:f>
        <x:v>7.3376906239999995</x:v>
      </x:c>
      <x:c r="J81" s="30" t="n">
        <x:f>IF('Assumptions'!$E$4=5,(J10*'Assumptions'!$E$85+J55*'Assumptions'!$E$75)/1000000000*(1+'Assumptions'!$E$139)+J69*(1+'Assumptions'!$E$139),J10*'Assumptions'!$E$128*(1+'Assumptions'!$E$139))</x:f>
        <x:v>9.785498624</x:v>
      </x:c>
      <x:c r="K81" s="30" t="n">
        <x:f>IF('Assumptions'!$E$4=5,(K10*'Assumptions'!$E$85+K55*'Assumptions'!$E$75)/1000000000*(1+'Assumptions'!$E$139)+K69*(1+'Assumptions'!$E$139),K10*'Assumptions'!$E$128*(1+'Assumptions'!$E$139))</x:f>
        <x:v>12.235728384</x:v>
      </x:c>
      <x:c r="L81" s="30" t="n">
        <x:f>IF('Assumptions'!$E$4=5,(L10*'Assumptions'!$E$85+L55*'Assumptions'!$E$75)/1000000000*(1+'Assumptions'!$E$139)+L69*(1+'Assumptions'!$E$139),L10*'Assumptions'!$E$128*(1+'Assumptions'!$E$139))</x:f>
        <x:v>14.687366144</x:v>
      </x:c>
      <x:c r="M81" s="30" t="n">
        <x:f>IF('Assumptions'!$E$4=5,(M10*'Assumptions'!$E$85+M55*'Assumptions'!$E$75)/1000000000*(1+'Assumptions'!$E$139)+M69*(1+'Assumptions'!$E$139),M10*'Assumptions'!$E$128*(1+'Assumptions'!$E$139))</x:f>
        <x:v>17.141087744000004</x:v>
      </x:c>
      <x:c r="N81" s="30" t="n">
        <x:f>IF('Assumptions'!$E$4=5,(N10*'Assumptions'!$E$85+N55*'Assumptions'!$E$75)/1000000000*(1+'Assumptions'!$E$139)+N69*(1+'Assumptions'!$E$139),N10*'Assumptions'!$E$128*(1+'Assumptions'!$E$139))</x:f>
        <x:v>19.596104704000002</x:v>
      </x:c>
      <x:c r="O81" s="30" t="n">
        <x:f>IF('Assumptions'!$E$4=5,(O10*'Assumptions'!$E$85+O55*'Assumptions'!$E$75)/1000000000*(1+'Assumptions'!$E$139)+O69*(1+'Assumptions'!$E$139),O10*'Assumptions'!$E$128*(1+'Assumptions'!$E$139))</x:f>
        <x:v>22.053318144</x:v>
      </x:c>
      <x:c r="P81" s="30" t="n">
        <x:f>IF('Assumptions'!$E$4=5,(P10*'Assumptions'!$E$85+P55*'Assumptions'!$E$75)/1000000000*(1+'Assumptions'!$E$139)+P69*(1+'Assumptions'!$E$139),P10*'Assumptions'!$E$128*(1+'Assumptions'!$E$139))</x:f>
        <x:v>24.512277504</x:v>
      </x:c>
      <x:c r="Q81" s="30" t="n">
        <x:f>IF('Assumptions'!$E$4=5,(Q10*'Assumptions'!$E$85+Q55*'Assumptions'!$E$75)/1000000000*(1+'Assumptions'!$E$139)+Q69*(1+'Assumptions'!$E$139),Q10*'Assumptions'!$E$128*(1+'Assumptions'!$E$139))</x:f>
        <x:v>24.529173504000003</x:v>
      </x:c>
    </x:row>
    <x:row r="82" ht="21" customHeight="1">
      <x:c r="A82" s="1"/>
      <x:c r="B82" s="1"/>
      <x:c r="C82" s="1" t="str">
        <x:v>R2 GB-month</x:v>
      </x:c>
      <x:c r="D82" s="30" t="n">
        <x:f>SUM(F82:Q82)</x:f>
        <x:v>215.379571968</x:v>
      </x:c>
      <x:c r="E82" s="30"/>
      <x:c r="F82" s="30" t="n">
        <x:f>IF('Assumptions'!$E$4=5,(F10*'Assumptions'!$E$86/1000000000+F68+F70+F71+F72+F73+F10*'Assumptions'!$E$119/1000000000*'Assumptions'!$E$118)*(1+'Assumptions'!$E$139),F10*'Assumptions'!$E$129*(1+'Assumptions'!$E$139))</x:f>
        <x:v>3.2290790400000002</x:v>
      </x:c>
      <x:c r="G82" s="30" t="n">
        <x:f>IF('Assumptions'!$E$4=5,(G10*'Assumptions'!$E$86/1000000000+G68+G70+G71+G72+G73+G10*'Assumptions'!$E$119/1000000000*'Assumptions'!$E$118)*(1+'Assumptions'!$E$139),G10*'Assumptions'!$E$129*(1+'Assumptions'!$E$139))</x:f>
        <x:v>4.843618560000001</x:v>
      </x:c>
      <x:c r="H82" s="30" t="n">
        <x:f>IF('Assumptions'!$E$4=5,(H10*'Assumptions'!$E$86/1000000000+H68+H70+H71+H72+H73+H10*'Assumptions'!$E$119/1000000000*'Assumptions'!$E$118)*(1+'Assumptions'!$E$139),H10*'Assumptions'!$E$129*(1+'Assumptions'!$E$139))</x:f>
        <x:v>7.1039738880000005</x:v>
      </x:c>
      <x:c r="I82" s="30" t="n">
        <x:f>IF('Assumptions'!$E$4=5,(I10*'Assumptions'!$E$86/1000000000+I68+I70+I71+I72+I73+I10*'Assumptions'!$E$119/1000000000*'Assumptions'!$E$118)*(1+'Assumptions'!$E$139),I10*'Assumptions'!$E$129*(1+'Assumptions'!$E$139))</x:f>
        <x:v>9.687237120000002</x:v>
      </x:c>
      <x:c r="J82" s="30" t="n">
        <x:f>IF('Assumptions'!$E$4=5,(J10*'Assumptions'!$E$86/1000000000+J68+J70+J71+J72+J73+J10*'Assumptions'!$E$119/1000000000*'Assumptions'!$E$118)*(1+'Assumptions'!$E$139),J10*'Assumptions'!$E$129*(1+'Assumptions'!$E$139))</x:f>
        <x:v>12.916316160000001</x:v>
      </x:c>
      <x:c r="K82" s="30" t="n">
        <x:f>IF('Assumptions'!$E$4=5,(K10*'Assumptions'!$E$86/1000000000+K68+K70+K71+K72+K73+K10*'Assumptions'!$E$119/1000000000*'Assumptions'!$E$118)*(1+'Assumptions'!$E$139),K10*'Assumptions'!$E$129*(1+'Assumptions'!$E$139))</x:f>
        <x:v>16.145395200000003</x:v>
      </x:c>
      <x:c r="L82" s="30" t="n">
        <x:f>IF('Assumptions'!$E$4=5,(L10*'Assumptions'!$E$86/1000000000+L68+L70+L71+L72+L73+L10*'Assumptions'!$E$119/1000000000*'Assumptions'!$E$118)*(1+'Assumptions'!$E$139),L10*'Assumptions'!$E$129*(1+'Assumptions'!$E$139))</x:f>
        <x:v>19.374474240000005</x:v>
      </x:c>
      <x:c r="M82" s="30" t="n">
        <x:f>IF('Assumptions'!$E$4=5,(M10*'Assumptions'!$E$86/1000000000+M68+M70+M71+M72+M73+M10*'Assumptions'!$E$119/1000000000*'Assumptions'!$E$118)*(1+'Assumptions'!$E$139),M10*'Assumptions'!$E$129*(1+'Assumptions'!$E$139))</x:f>
        <x:v>22.603553280000007</x:v>
      </x:c>
      <x:c r="N82" s="30" t="n">
        <x:f>IF('Assumptions'!$E$4=5,(N10*'Assumptions'!$E$86/1000000000+N68+N70+N71+N72+N73+N10*'Assumptions'!$E$119/1000000000*'Assumptions'!$E$118)*(1+'Assumptions'!$E$139),N10*'Assumptions'!$E$129*(1+'Assumptions'!$E$139))</x:f>
        <x:v>25.832632320000002</x:v>
      </x:c>
      <x:c r="O82" s="30" t="n">
        <x:f>IF('Assumptions'!$E$4=5,(O10*'Assumptions'!$E$86/1000000000+O68+O70+O71+O72+O73+O10*'Assumptions'!$E$119/1000000000*'Assumptions'!$E$118)*(1+'Assumptions'!$E$139),O10*'Assumptions'!$E$129*(1+'Assumptions'!$E$139))</x:f>
        <x:v>29.061711360000004</x:v>
      </x:c>
      <x:c r="P82" s="30" t="n">
        <x:f>IF('Assumptions'!$E$4=5,(P10*'Assumptions'!$E$86/1000000000+P68+P70+P71+P72+P73+P10*'Assumptions'!$E$119/1000000000*'Assumptions'!$E$118)*(1+'Assumptions'!$E$139),P10*'Assumptions'!$E$129*(1+'Assumptions'!$E$139))</x:f>
        <x:v>32.290790400000006</x:v>
      </x:c>
      <x:c r="Q82" s="30" t="n">
        <x:f>IF('Assumptions'!$E$4=5,(Q10*'Assumptions'!$E$86/1000000000+Q68+Q70+Q71+Q72+Q73+Q10*'Assumptions'!$E$119/1000000000*'Assumptions'!$E$118)*(1+'Assumptions'!$E$139),Q10*'Assumptions'!$E$129*(1+'Assumptions'!$E$139))</x:f>
        <x:v>32.290790400000006</x:v>
      </x:c>
    </x:row>
    <x:row r="83" ht="21" customHeight="1">
      <x:c r="A83" s="1"/>
      <x:c r="B83" s="1"/>
      <x:c r="C83" s="1" t="str">
        <x:v>R2 class A operations</x:v>
      </x:c>
      <x:c r="D83" s="18" t="n">
        <x:f>SUM(F83:Q83)</x:f>
        <x:v>2477218.128</x:v>
      </x:c>
      <x:c r="E83" s="18"/>
      <x:c r="F83" s="18" t="n">
        <x:f>IF('Assumptions'!$E$4=5,(F7*'Assumptions'!$E$112*F9+F58+F60+F62+2*F66+2*F67)*(1+'Assumptions'!$E$114)*(1+'Assumptions'!$E$139),F11*'Assumptions'!$E$131*(1+'Assumptions'!$E$139))</x:f>
        <x:v>34215.72</x:v>
      </x:c>
      <x:c r="G83" s="18" t="n">
        <x:f>IF('Assumptions'!$E$4=5,(G7*'Assumptions'!$E$112*G9+G58+G60+G62+2*G66+2*G67)*(1+'Assumptions'!$E$114)*(1+'Assumptions'!$E$139),G11*'Assumptions'!$E$131*(1+'Assumptions'!$E$139))</x:f>
        <x:v>54989.55</x:v>
      </x:c>
      <x:c r="H83" s="18" t="n">
        <x:f>IF('Assumptions'!$E$4=5,(H7*'Assumptions'!$E$112*H9+H58+H60+H62+2*H66+2*H67)*(1+'Assumptions'!$E$114)*(1+'Assumptions'!$E$139),H11*'Assumptions'!$E$131*(1+'Assumptions'!$E$139))</x:f>
        <x:v>83339.71800000001</x:v>
      </x:c>
      <x:c r="I83" s="18" t="n">
        <x:f>IF('Assumptions'!$E$4=5,(I7*'Assumptions'!$E$112*I9+I58+I60+I62+2*I66+2*I67)*(1+'Assumptions'!$E$114)*(1+'Assumptions'!$E$139),I11*'Assumptions'!$E$131*(1+'Assumptions'!$E$139))</x:f>
        <x:v>113645.07000000002</x:v>
      </x:c>
      <x:c r="J83" s="18" t="n">
        <x:f>IF('Assumptions'!$E$4=5,(J7*'Assumptions'!$E$112*J9+J58+J60+J62+2*J66+2*J67)*(1+'Assumptions'!$E$114)*(1+'Assumptions'!$E$139),J11*'Assumptions'!$E$131*(1+'Assumptions'!$E$139))</x:f>
        <x:v>136862.88</x:v>
      </x:c>
      <x:c r="K83" s="18" t="n">
        <x:f>IF('Assumptions'!$E$4=5,(K7*'Assumptions'!$E$112*K9+K58+K60+K62+2*K66+2*K67)*(1+'Assumptions'!$E$114)*(1+'Assumptions'!$E$139),K11*'Assumptions'!$E$131*(1+'Assumptions'!$E$139))</x:f>
        <x:v>189408.45</x:v>
      </x:c>
      <x:c r="L83" s="18" t="n">
        <x:f>IF('Assumptions'!$E$4=5,(L7*'Assumptions'!$E$112*L9+L58+L60+L62+2*L66+2*L67)*(1+'Assumptions'!$E$114)*(1+'Assumptions'!$E$139),L11*'Assumptions'!$E$131*(1+'Assumptions'!$E$139))</x:f>
        <x:v>219958.2</x:v>
      </x:c>
      <x:c r="M83" s="18" t="n">
        <x:f>IF('Assumptions'!$E$4=5,(M7*'Assumptions'!$E$112*M9+M58+M60+M62+2*M66+2*M67)*(1+'Assumptions'!$E$114)*(1+'Assumptions'!$E$139),M11*'Assumptions'!$E$131*(1+'Assumptions'!$E$139))</x:f>
        <x:v>265171.83</x:v>
      </x:c>
      <x:c r="N83" s="18" t="n">
        <x:f>IF('Assumptions'!$E$4=5,(N7*'Assumptions'!$E$112*N9+N58+N60+N62+2*N66+2*N67)*(1+'Assumptions'!$E$114)*(1+'Assumptions'!$E$139),N11*'Assumptions'!$E$131*(1+'Assumptions'!$E$139))</x:f>
        <x:v>293277.60000000003</x:v>
      </x:c>
      <x:c r="O83" s="18" t="n">
        <x:f>IF('Assumptions'!$E$4=5,(O7*'Assumptions'!$E$112*O9+O58+O60+O62+2*O66+2*O67)*(1+'Assumptions'!$E$114)*(1+'Assumptions'!$E$139),O11*'Assumptions'!$E$131*(1+'Assumptions'!$E$139))</x:f>
        <x:v>340935.2100000001</x:v>
      </x:c>
      <x:c r="P83" s="18" t="n">
        <x:f>IF('Assumptions'!$E$4=5,(P7*'Assumptions'!$E$112*P9+P58+P60+P62+2*P66+2*P67)*(1+'Assumptions'!$E$114)*(1+'Assumptions'!$E$139),P11*'Assumptions'!$E$131*(1+'Assumptions'!$E$139))</x:f>
        <x:v>378816.9</x:v>
      </x:c>
      <x:c r="Q83" s="18" t="n">
        <x:f>IF('Assumptions'!$E$4=5,(Q7*'Assumptions'!$E$112*Q9+Q58+Q60+Q62+2*Q66+2*Q67)*(1+'Assumptions'!$E$114)*(1+'Assumptions'!$E$139),Q11*'Assumptions'!$E$131*(1+'Assumptions'!$E$139))</x:f>
        <x:v>366597.00000000006</x:v>
      </x:c>
    </x:row>
    <x:row r="84" ht="21" customHeight="1">
      <x:c r="A84" s="1"/>
      <x:c r="B84" s="1"/>
      <x:c r="C84" s="1" t="str">
        <x:v>R2 class B operations</x:v>
      </x:c>
      <x:c r="D84" s="18" t="n">
        <x:f>SUM(F84:Q84)</x:f>
        <x:v>7209278.399400001</x:v>
      </x:c>
      <x:c r="E84" s="18"/>
      <x:c r="F84" s="18" t="n">
        <x:f>IF('Assumptions'!$E$4=5,(F7*'Assumptions'!$E$113*F9+F57*'Assumptions'!$E$93+F60*'Assumptions'!$E$97+F63+F64+F66*'Assumptions'!$E$107+F67*'Assumptions'!$E$111)*(1+'Assumptions'!$E$114)*(1+'Assumptions'!$E$139),F11*'Assumptions'!$E$132*(1+'Assumptions'!$E$139))</x:f>
        <x:v>99575.66850000001</x:v>
      </x:c>
      <x:c r="G84" s="18" t="n">
        <x:f>IF('Assumptions'!$E$4=5,(G7*'Assumptions'!$E$113*G9+G57*'Assumptions'!$E$93+G60*'Assumptions'!$E$97+G63+G64+G66*'Assumptions'!$E$107+G67*'Assumptions'!$E$111)*(1+'Assumptions'!$E$114)*(1+'Assumptions'!$E$139),G11*'Assumptions'!$E$132*(1+'Assumptions'!$E$139))</x:f>
        <x:v>160032.324375</x:v>
      </x:c>
      <x:c r="H84" s="18" t="n">
        <x:f>IF('Assumptions'!$E$4=5,(H7*'Assumptions'!$E$113*H9+H57*'Assumptions'!$E$93+H60*'Assumptions'!$E$97+H63+H64+H66*'Assumptions'!$E$107+H67*'Assumptions'!$E$111)*(1+'Assumptions'!$E$114)*(1+'Assumptions'!$E$139),H11*'Assumptions'!$E$132*(1+'Assumptions'!$E$139))</x:f>
        <x:v>242537.87827500002</x:v>
      </x:c>
      <x:c r="I84" s="18" t="n">
        <x:f>IF('Assumptions'!$E$4=5,(I7*'Assumptions'!$E$113*I9+I57*'Assumptions'!$E$93+I60*'Assumptions'!$E$97+I63+I64+I66*'Assumptions'!$E$107+I67*'Assumptions'!$E$111)*(1+'Assumptions'!$E$114)*(1+'Assumptions'!$E$139),I11*'Assumptions'!$E$132*(1+'Assumptions'!$E$139))</x:f>
        <x:v>330733.47037500003</x:v>
      </x:c>
      <x:c r="J84" s="18" t="n">
        <x:f>IF('Assumptions'!$E$4=5,(J7*'Assumptions'!$E$113*J9+J57*'Assumptions'!$E$93+J60*'Assumptions'!$E$97+J63+J64+J66*'Assumptions'!$E$107+J67*'Assumptions'!$E$111)*(1+'Assumptions'!$E$114)*(1+'Assumptions'!$E$139),J11*'Assumptions'!$E$132*(1+'Assumptions'!$E$139))</x:f>
        <x:v>398302.67400000006</x:v>
      </x:c>
      <x:c r="K84" s="18" t="n">
        <x:f>IF('Assumptions'!$E$4=5,(K7*'Assumptions'!$E$113*K9+K57*'Assumptions'!$E$93+K60*'Assumptions'!$E$97+K63+K64+K66*'Assumptions'!$E$107+K67*'Assumptions'!$E$111)*(1+'Assumptions'!$E$114)*(1+'Assumptions'!$E$139),K11*'Assumptions'!$E$132*(1+'Assumptions'!$E$139))</x:f>
        <x:v>551222.450625</x:v>
      </x:c>
      <x:c r="L84" s="18" t="n">
        <x:f>IF('Assumptions'!$E$4=5,(L7*'Assumptions'!$E$113*L9+L57*'Assumptions'!$E$93+L60*'Assumptions'!$E$97+L63+L64+L66*'Assumptions'!$E$107+L67*'Assumptions'!$E$111)*(1+'Assumptions'!$E$114)*(1+'Assumptions'!$E$139),L11*'Assumptions'!$E$132*(1+'Assumptions'!$E$139))</x:f>
        <x:v>640129.2975</x:v>
      </x:c>
      <x:c r="M84" s="18" t="n">
        <x:f>IF('Assumptions'!$E$4=5,(M7*'Assumptions'!$E$113*M9+M57*'Assumptions'!$E$93+M60*'Assumptions'!$E$97+M63+M64+M66*'Assumptions'!$E$107+M67*'Assumptions'!$E$111)*(1+'Assumptions'!$E$114)*(1+'Assumptions'!$E$139),M11*'Assumptions'!$E$132*(1+'Assumptions'!$E$139))</x:f>
        <x:v>771711.4308750001</x:v>
      </x:c>
      <x:c r="N84" s="18" t="n">
        <x:f>IF('Assumptions'!$E$4=5,(N7*'Assumptions'!$E$113*N9+N57*'Assumptions'!$E$93+N60*'Assumptions'!$E$97+N63+N64+N66*'Assumptions'!$E$107+N67*'Assumptions'!$E$111)*(1+'Assumptions'!$E$114)*(1+'Assumptions'!$E$139),N11*'Assumptions'!$E$132*(1+'Assumptions'!$E$139))</x:f>
        <x:v>853505.7300000001</x:v>
      </x:c>
      <x:c r="O84" s="18" t="n">
        <x:f>IF('Assumptions'!$E$4=5,(O7*'Assumptions'!$E$113*O9+O57*'Assumptions'!$E$93+O60*'Assumptions'!$E$97+O63+O64+O66*'Assumptions'!$E$107+O67*'Assumptions'!$E$111)*(1+'Assumptions'!$E$114)*(1+'Assumptions'!$E$139),O11*'Assumptions'!$E$132*(1+'Assumptions'!$E$139))</x:f>
        <x:v>992200.4111250001</x:v>
      </x:c>
      <x:c r="P84" s="18" t="n">
        <x:f>IF('Assumptions'!$E$4=5,(P7*'Assumptions'!$E$113*P9+P57*'Assumptions'!$E$93+P60*'Assumptions'!$E$97+P63+P64+P66*'Assumptions'!$E$107+P67*'Assumptions'!$E$111)*(1+'Assumptions'!$E$114)*(1+'Assumptions'!$E$139),P11*'Assumptions'!$E$132*(1+'Assumptions'!$E$139))</x:f>
        <x:v>1102444.90125</x:v>
      </x:c>
      <x:c r="Q84" s="18" t="n">
        <x:f>IF('Assumptions'!$E$4=5,(Q7*'Assumptions'!$E$113*Q9+Q57*'Assumptions'!$E$93+Q60*'Assumptions'!$E$97+Q63+Q64+Q66*'Assumptions'!$E$107+Q67*'Assumptions'!$E$111)*(1+'Assumptions'!$E$114)*(1+'Assumptions'!$E$139),Q11*'Assumptions'!$E$132*(1+'Assumptions'!$E$139))</x:f>
        <x:v>1066882.1625</x:v>
      </x:c>
    </x:row>
    <x:row r="85" ht="21" customHeight="1">
      <x:c r="A85" s="1"/>
      <x:c r="B85" s="1"/>
      <x:c r="C85" s="1" t="str">
        <x:v>D1 rows read</x:v>
      </x:c>
      <x:c r="D85" s="18" t="n">
        <x:f>SUM(F85:Q85)</x:f>
        <x:v>302136320.64000005</x:v>
      </x:c>
      <x:c r="E85" s="18"/>
      <x:c r="F85" s="18" t="n">
        <x:f>IF('Assumptions'!$E$4=5,(F7*'Assumptions'!$E$82*F9+F33*'Assumptions'!$E$84)*(1+'Assumptions'!$E$114)*(1+'Assumptions'!$E$139),F8*'Assumptions'!$E$133*(1+'Assumptions'!$E$139))</x:f>
        <x:v>4173153.6000000006</x:v>
      </x:c>
      <x:c r="G85" s="18" t="n">
        <x:f>IF('Assumptions'!$E$4=5,(G7*'Assumptions'!$E$82*G9+G33*'Assumptions'!$E$84)*(1+'Assumptions'!$E$114)*(1+'Assumptions'!$E$139),G8*'Assumptions'!$E$133*(1+'Assumptions'!$E$139))</x:f>
        <x:v>6706854.000000001</x:v>
      </x:c>
      <x:c r="H85" s="18" t="n">
        <x:f>IF('Assumptions'!$E$4=5,(H7*'Assumptions'!$E$82*H9+H33*'Assumptions'!$E$84)*(1+'Assumptions'!$E$114)*(1+'Assumptions'!$E$139),H8*'Assumptions'!$E$133*(1+'Assumptions'!$E$139))</x:f>
        <x:v>10164609.840000002</x:v>
      </x:c>
      <x:c r="I85" s="18" t="n">
        <x:f>IF('Assumptions'!$E$4=5,(I7*'Assumptions'!$E$82*I9+I33*'Assumptions'!$E$84)*(1+'Assumptions'!$E$114)*(1+'Assumptions'!$E$139),I8*'Assumptions'!$E$133*(1+'Assumptions'!$E$139))</x:f>
        <x:v>13860831.600000001</x:v>
      </x:c>
      <x:c r="J85" s="18" t="n">
        <x:f>IF('Assumptions'!$E$4=5,(J7*'Assumptions'!$E$82*J9+J33*'Assumptions'!$E$84)*(1+'Assumptions'!$E$114)*(1+'Assumptions'!$E$139),J8*'Assumptions'!$E$133*(1+'Assumptions'!$E$139))</x:f>
        <x:v>16692614.400000002</x:v>
      </x:c>
      <x:c r="K85" s="18" t="n">
        <x:f>IF('Assumptions'!$E$4=5,(K7*'Assumptions'!$E$82*K9+K33*'Assumptions'!$E$84)*(1+'Assumptions'!$E$114)*(1+'Assumptions'!$E$139),K8*'Assumptions'!$E$133*(1+'Assumptions'!$E$139))</x:f>
        <x:v>23101386.000000004</x:v>
      </x:c>
      <x:c r="L85" s="18" t="n">
        <x:f>IF('Assumptions'!$E$4=5,(L7*'Assumptions'!$E$82*L9+L33*'Assumptions'!$E$84)*(1+'Assumptions'!$E$114)*(1+'Assumptions'!$E$139),L8*'Assumptions'!$E$133*(1+'Assumptions'!$E$139))</x:f>
        <x:v>26827416.000000004</x:v>
      </x:c>
      <x:c r="M85" s="18" t="n">
        <x:f>IF('Assumptions'!$E$4=5,(M7*'Assumptions'!$E$82*M9+M33*'Assumptions'!$E$84)*(1+'Assumptions'!$E$114)*(1+'Assumptions'!$E$139),M8*'Assumptions'!$E$133*(1+'Assumptions'!$E$139))</x:f>
        <x:v>32341940.400000002</x:v>
      </x:c>
      <x:c r="N85" s="18" t="n">
        <x:f>IF('Assumptions'!$E$4=5,(N7*'Assumptions'!$E$82*N9+N33*'Assumptions'!$E$84)*(1+'Assumptions'!$E$114)*(1+'Assumptions'!$E$139),N8*'Assumptions'!$E$133*(1+'Assumptions'!$E$139))</x:f>
        <x:v>35769888</x:v>
      </x:c>
      <x:c r="O85" s="18" t="n">
        <x:f>IF('Assumptions'!$E$4=5,(O7*'Assumptions'!$E$82*O9+O33*'Assumptions'!$E$84)*(1+'Assumptions'!$E$114)*(1+'Assumptions'!$E$139),O8*'Assumptions'!$E$133*(1+'Assumptions'!$E$139))</x:f>
        <x:v>41582494.800000004</x:v>
      </x:c>
      <x:c r="P85" s="18" t="n">
        <x:f>IF('Assumptions'!$E$4=5,(P7*'Assumptions'!$E$82*P9+P33*'Assumptions'!$E$84)*(1+'Assumptions'!$E$114)*(1+'Assumptions'!$E$139),P8*'Assumptions'!$E$133*(1+'Assumptions'!$E$139))</x:f>
        <x:v>46202772.00000001</x:v>
      </x:c>
      <x:c r="Q85" s="18" t="n">
        <x:f>IF('Assumptions'!$E$4=5,(Q7*'Assumptions'!$E$82*Q9+Q33*'Assumptions'!$E$84)*(1+'Assumptions'!$E$114)*(1+'Assumptions'!$E$139),Q8*'Assumptions'!$E$133*(1+'Assumptions'!$E$139))</x:f>
        <x:v>44712360</x:v>
      </x:c>
    </x:row>
    <x:row r="86" ht="21" customHeight="1">
      <x:c r="A86" s="1"/>
      <x:c r="B86" s="1"/>
      <x:c r="C86" s="1" t="str">
        <x:v>D1 rows written</x:v>
      </x:c>
      <x:c r="D86" s="18" t="n">
        <x:f>SUM(F86:Q86)</x:f>
        <x:v>23414160</x:v>
      </x:c>
      <x:c r="E86" s="18"/>
      <x:c r="F86" s="18" t="n">
        <x:f>IF('Assumptions'!$E$4=5,F7*'Assumptions'!$E$83*F9*(1+'Assumptions'!$E$114)*(1+'Assumptions'!$E$139),F8*'Assumptions'!$E$134*(1+'Assumptions'!$E$139))</x:f>
        <x:v>323400</x:v>
      </x:c>
      <x:c r="G86" s="18" t="n">
        <x:f>IF('Assumptions'!$E$4=5,G7*'Assumptions'!$E$83*G9*(1+'Assumptions'!$E$114)*(1+'Assumptions'!$E$139),G8*'Assumptions'!$E$134*(1+'Assumptions'!$E$139))</x:f>
        <x:v>519750.00000000006</x:v>
      </x:c>
      <x:c r="H86" s="18" t="n">
        <x:f>IF('Assumptions'!$E$4=5,H7*'Assumptions'!$E$83*H9*(1+'Assumptions'!$E$114)*(1+'Assumptions'!$E$139),H8*'Assumptions'!$E$134*(1+'Assumptions'!$E$139))</x:f>
        <x:v>787710.0000000001</x:v>
      </x:c>
      <x:c r="I86" s="18" t="n">
        <x:f>IF('Assumptions'!$E$4=5,I7*'Assumptions'!$E$83*I9*(1+'Assumptions'!$E$114)*(1+'Assumptions'!$E$139),I8*'Assumptions'!$E$134*(1+'Assumptions'!$E$139))</x:f>
        <x:v>1074150</x:v>
      </x:c>
      <x:c r="J86" s="18" t="n">
        <x:f>IF('Assumptions'!$E$4=5,J7*'Assumptions'!$E$83*J9*(1+'Assumptions'!$E$114)*(1+'Assumptions'!$E$139),J8*'Assumptions'!$E$134*(1+'Assumptions'!$E$139))</x:f>
        <x:v>1293600</x:v>
      </x:c>
      <x:c r="K86" s="18" t="n">
        <x:f>IF('Assumptions'!$E$4=5,K7*'Assumptions'!$E$83*K9*(1+'Assumptions'!$E$114)*(1+'Assumptions'!$E$139),K8*'Assumptions'!$E$134*(1+'Assumptions'!$E$139))</x:f>
        <x:v>1790250.0000000002</x:v>
      </x:c>
      <x:c r="L86" s="18" t="n">
        <x:f>IF('Assumptions'!$E$4=5,L7*'Assumptions'!$E$83*L9*(1+'Assumptions'!$E$114)*(1+'Assumptions'!$E$139),L8*'Assumptions'!$E$134*(1+'Assumptions'!$E$139))</x:f>
        <x:v>2079000.0000000002</x:v>
      </x:c>
      <x:c r="M86" s="18" t="n">
        <x:f>IF('Assumptions'!$E$4=5,M7*'Assumptions'!$E$83*M9*(1+'Assumptions'!$E$114)*(1+'Assumptions'!$E$139),M8*'Assumptions'!$E$134*(1+'Assumptions'!$E$139))</x:f>
        <x:v>2506350</x:v>
      </x:c>
      <x:c r="N86" s="18" t="n">
        <x:f>IF('Assumptions'!$E$4=5,N7*'Assumptions'!$E$83*N9*(1+'Assumptions'!$E$114)*(1+'Assumptions'!$E$139),N8*'Assumptions'!$E$134*(1+'Assumptions'!$E$139))</x:f>
        <x:v>2772000</x:v>
      </x:c>
      <x:c r="O86" s="18" t="n">
        <x:f>IF('Assumptions'!$E$4=5,O7*'Assumptions'!$E$83*O9*(1+'Assumptions'!$E$114)*(1+'Assumptions'!$E$139),O8*'Assumptions'!$E$134*(1+'Assumptions'!$E$139))</x:f>
        <x:v>3222450.0000000005</x:v>
      </x:c>
      <x:c r="P86" s="18" t="n">
        <x:f>IF('Assumptions'!$E$4=5,P7*'Assumptions'!$E$83*P9*(1+'Assumptions'!$E$114)*(1+'Assumptions'!$E$139),P8*'Assumptions'!$E$134*(1+'Assumptions'!$E$139))</x:f>
        <x:v>3580500.0000000005</x:v>
      </x:c>
      <x:c r="Q86" s="18" t="n">
        <x:f>IF('Assumptions'!$E$4=5,Q7*'Assumptions'!$E$83*Q9*(1+'Assumptions'!$E$114)*(1+'Assumptions'!$E$139),Q8*'Assumptions'!$E$134*(1+'Assumptions'!$E$139))</x:f>
        <x:v>3465000.0000000005</x:v>
      </x:c>
    </x:row>
    <x:row r="87" ht="21" customHeight="1">
      <x:c r="A87" s="1"/>
      <x:c r="B87" s="1"/>
      <x:c r="C87" s="1" t="str">
        <x:v>D1 GB-month</x:v>
      </x:c>
      <x:c r="D87" s="30" t="n">
        <x:f>SUM(F87:Q87)</x:f>
        <x:v>14.674</x:v>
      </x:c>
      <x:c r="E87" s="30"/>
      <x:c r="F87" s="30" t="n">
        <x:f>IF('Assumptions'!$E$4=5,F10*'Assumptions'!$E$87/1000000000*(1+'Assumptions'!$E$139),F10*'Assumptions'!$E$130*(1+'Assumptions'!$E$139))</x:f>
        <x:v>0.22000000000000003</x:v>
      </x:c>
      <x:c r="G87" s="30" t="n">
        <x:f>IF('Assumptions'!$E$4=5,G10*'Assumptions'!$E$87/1000000000*(1+'Assumptions'!$E$139),G10*'Assumptions'!$E$130*(1+'Assumptions'!$E$139))</x:f>
        <x:v>0.33</x:v>
      </x:c>
      <x:c r="H87" s="30" t="n">
        <x:f>IF('Assumptions'!$E$4=5,H10*'Assumptions'!$E$87/1000000000*(1+'Assumptions'!$E$139),H10*'Assumptions'!$E$130*(1+'Assumptions'!$E$139))</x:f>
        <x:v>0.48400000000000004</x:v>
      </x:c>
      <x:c r="I87" s="30" t="n">
        <x:f>IF('Assumptions'!$E$4=5,I10*'Assumptions'!$E$87/1000000000*(1+'Assumptions'!$E$139),I10*'Assumptions'!$E$130*(1+'Assumptions'!$E$139))</x:f>
        <x:v>0.66</x:v>
      </x:c>
      <x:c r="J87" s="30" t="n">
        <x:f>IF('Assumptions'!$E$4=5,J10*'Assumptions'!$E$87/1000000000*(1+'Assumptions'!$E$139),J10*'Assumptions'!$E$130*(1+'Assumptions'!$E$139))</x:f>
        <x:v>0.8800000000000001</x:v>
      </x:c>
      <x:c r="K87" s="30" t="n">
        <x:f>IF('Assumptions'!$E$4=5,K10*'Assumptions'!$E$87/1000000000*(1+'Assumptions'!$E$139),K10*'Assumptions'!$E$130*(1+'Assumptions'!$E$139))</x:f>
        <x:v>1.1</x:v>
      </x:c>
      <x:c r="L87" s="30" t="n">
        <x:f>IF('Assumptions'!$E$4=5,L10*'Assumptions'!$E$87/1000000000*(1+'Assumptions'!$E$139),L10*'Assumptions'!$E$130*(1+'Assumptions'!$E$139))</x:f>
        <x:v>1.32</x:v>
      </x:c>
      <x:c r="M87" s="30" t="n">
        <x:f>IF('Assumptions'!$E$4=5,M10*'Assumptions'!$E$87/1000000000*(1+'Assumptions'!$E$139),M10*'Assumptions'!$E$130*(1+'Assumptions'!$E$139))</x:f>
        <x:v>1.54</x:v>
      </x:c>
      <x:c r="N87" s="30" t="n">
        <x:f>IF('Assumptions'!$E$4=5,N10*'Assumptions'!$E$87/1000000000*(1+'Assumptions'!$E$139),N10*'Assumptions'!$E$130*(1+'Assumptions'!$E$139))</x:f>
        <x:v>1.7600000000000002</x:v>
      </x:c>
      <x:c r="O87" s="30" t="n">
        <x:f>IF('Assumptions'!$E$4=5,O10*'Assumptions'!$E$87/1000000000*(1+'Assumptions'!$E$139),O10*'Assumptions'!$E$130*(1+'Assumptions'!$E$139))</x:f>
        <x:v>1.9800000000000002</x:v>
      </x:c>
      <x:c r="P87" s="30" t="n">
        <x:f>IF('Assumptions'!$E$4=5,P10*'Assumptions'!$E$87/1000000000*(1+'Assumptions'!$E$139),P10*'Assumptions'!$E$130*(1+'Assumptions'!$E$139))</x:f>
        <x:v>2.2</x:v>
      </x:c>
      <x:c r="Q87" s="30" t="n">
        <x:f>IF('Assumptions'!$E$4=5,Q10*'Assumptions'!$E$87/1000000000*(1+'Assumptions'!$E$139),Q10*'Assumptions'!$E$130*(1+'Assumptions'!$E$139))</x:f>
        <x:v>2.2</x:v>
      </x:c>
    </x:row>
    <x:row r="88" ht="21" customHeight="1">
      <x:c r="A88" s="1"/>
      <x:c r="B88" s="1"/>
      <x:c r="C88" s="1" t="str">
        <x:v>Sampled log events</x:v>
      </x:c>
      <x:c r="D88" s="18" t="n">
        <x:f>SUM(F88:Q88)</x:f>
        <x:v>146127397.93344003</x:v>
      </x:c>
      <x:c r="E88" s="18"/>
      <x:c r="F88" s="18" t="n">
        <x:f>IF('Assumptions'!$E$4=5,(F75+F77)*'Assumptions'!$E$140*'Assumptions'!$E$141,F75*'Assumptions'!$E$140*'Assumptions'!$E$141)</x:f>
        <x:v>2018334.2256000005</x:v>
      </x:c>
      <x:c r="G88" s="18" t="n">
        <x:f>IF('Assumptions'!$E$4=5,(G75+G77)*'Assumptions'!$E$140*'Assumptions'!$E$141,G75*'Assumptions'!$E$140*'Assumptions'!$E$141)</x:f>
        <x:v>3243751.4340000004</x:v>
      </x:c>
      <x:c r="H88" s="18" t="n">
        <x:f>IF('Assumptions'!$E$4=5,(H75+H77)*'Assumptions'!$E$140*'Assumptions'!$E$141,H75*'Assumptions'!$E$140*'Assumptions'!$E$141)</x:f>
        <x:v>4916085.50664</x:v>
      </x:c>
      <x:c r="I88" s="18" t="n">
        <x:f>IF('Assumptions'!$E$4=5,(I75+I77)*'Assumptions'!$E$140*'Assumptions'!$E$141,I75*'Assumptions'!$E$140*'Assumptions'!$E$141)</x:f>
        <x:v>6703752.963600001</x:v>
      </x:c>
      <x:c r="J88" s="18" t="n">
        <x:f>IF('Assumptions'!$E$4=5,(J75+J77)*'Assumptions'!$E$140*'Assumptions'!$E$141,J75*'Assumptions'!$E$140*'Assumptions'!$E$141)</x:f>
        <x:v>8073336.902400002</x:v>
      </x:c>
      <x:c r="K88" s="18" t="n">
        <x:f>IF('Assumptions'!$E$4=5,(K75+K77)*'Assumptions'!$E$140*'Assumptions'!$E$141,K75*'Assumptions'!$E$140*'Assumptions'!$E$141)</x:f>
        <x:v>11172921.606000002</x:v>
      </x:c>
      <x:c r="L88" s="18" t="n">
        <x:f>IF('Assumptions'!$E$4=5,(L75+L77)*'Assumptions'!$E$140*'Assumptions'!$E$141,L75*'Assumptions'!$E$140*'Assumptions'!$E$141)</x:f>
        <x:v>12975005.736000001</x:v>
      </x:c>
      <x:c r="M88" s="18" t="n">
        <x:f>IF('Assumptions'!$E$4=5,(M75+M77)*'Assumptions'!$E$140*'Assumptions'!$E$141,M75*'Assumptions'!$E$140*'Assumptions'!$E$141)</x:f>
        <x:v>15642090.248400003</x:v>
      </x:c>
      <x:c r="N88" s="18" t="n">
        <x:f>IF('Assumptions'!$E$4=5,(N75+N77)*'Assumptions'!$E$140*'Assumptions'!$E$141,N75*'Assumptions'!$E$140*'Assumptions'!$E$141)</x:f>
        <x:v>17300007.648000002</x:v>
      </x:c>
      <x:c r="O88" s="18" t="n">
        <x:f>IF('Assumptions'!$E$4=5,(O75+O77)*'Assumptions'!$E$140*'Assumptions'!$E$141,O75*'Assumptions'!$E$140*'Assumptions'!$E$141)</x:f>
        <x:v>20111258.890800007</x:v>
      </x:c>
      <x:c r="P88" s="18" t="n">
        <x:f>IF('Assumptions'!$E$4=5,(P75+P77)*'Assumptions'!$E$140*'Assumptions'!$E$141,P75*'Assumptions'!$E$140*'Assumptions'!$E$141)</x:f>
        <x:v>22345843.212000005</x:v>
      </x:c>
      <x:c r="Q88" s="18" t="n">
        <x:f>IF('Assumptions'!$E$4=5,(Q75+Q77)*'Assumptions'!$E$140*'Assumptions'!$E$141,Q75*'Assumptions'!$E$140*'Assumptions'!$E$141)</x:f>
        <x:v>21625009.560000002</x:v>
      </x:c>
    </x:row>
    <x:row r="89" ht="21" customHeight="1">
      <x:c r="A89" s="1"/>
      <x:c r="B89" s="1"/>
      <x:c r="C89" s="1" t="str">
        <x:v>Log ingestion GB</x:v>
      </x:c>
      <x:c r="D89" s="18" t="n">
        <x:f>SUM(F89:Q89)</x:f>
        <x:v>146.12739793344002</x:v>
      </x:c>
      <x:c r="E89" s="18"/>
      <x:c r="F89" s="18" t="n">
        <x:f>F88*'Assumptions'!$E$142/1000000000</x:f>
        <x:v>2.0183342256000003</x:v>
      </x:c>
      <x:c r="G89" s="18" t="n">
        <x:f>G88*'Assumptions'!$E$142/1000000000</x:f>
        <x:v>3.2437514340000004</x:v>
      </x:c>
      <x:c r="H89" s="18" t="n">
        <x:f>H88*'Assumptions'!$E$142/1000000000</x:f>
        <x:v>4.91608550664</x:v>
      </x:c>
      <x:c r="I89" s="18" t="n">
        <x:f>I88*'Assumptions'!$E$142/1000000000</x:f>
        <x:v>6.703752963600001</x:v>
      </x:c>
      <x:c r="J89" s="18" t="n">
        <x:f>J88*'Assumptions'!$E$142/1000000000</x:f>
        <x:v>8.073336902400001</x:v>
      </x:c>
      <x:c r="K89" s="18" t="n">
        <x:f>K88*'Assumptions'!$E$142/1000000000</x:f>
        <x:v>11.172921606000003</x:v>
      </x:c>
      <x:c r="L89" s="18" t="n">
        <x:f>L88*'Assumptions'!$E$142/1000000000</x:f>
        <x:v>12.975005736000002</x:v>
      </x:c>
      <x:c r="M89" s="18" t="n">
        <x:f>M88*'Assumptions'!$E$142/1000000000</x:f>
        <x:v>15.642090248400004</x:v>
      </x:c>
      <x:c r="N89" s="18" t="n">
        <x:f>N88*'Assumptions'!$E$142/1000000000</x:f>
        <x:v>17.300007648</x:v>
      </x:c>
      <x:c r="O89" s="18" t="n">
        <x:f>O88*'Assumptions'!$E$142/1000000000</x:f>
        <x:v>20.111258890800006</x:v>
      </x:c>
      <x:c r="P89" s="18" t="n">
        <x:f>P88*'Assumptions'!$E$142/1000000000</x:f>
        <x:v>22.345843212000005</x:v>
      </x:c>
      <x:c r="Q89" s="18" t="n">
        <x:f>Q88*'Assumptions'!$E$142/1000000000</x:f>
        <x:v>21.625009560000002</x:v>
      </x:c>
    </x:row>
    <x:row r="90" ht="21" customHeight="1">
      <x:c r="A90" s="1"/>
      <x:c r="B90" s="1"/>
      <x:c r="C90" s="1" t="str">
        <x:v>Queryable log GB-month</x:v>
      </x:c>
      <x:c r="D90" s="18" t="n">
        <x:f>SUM(F90:Q90)</x:f>
        <x:v>33.65572321188</x:v>
      </x:c>
      <x:c r="E90" s="18"/>
      <x:c r="F90" s="18" t="n">
        <x:f>F89*'Assumptions'!$E$143/F9</x:f>
        <x:v>0.5045835564000001</x:v>
      </x:c>
      <x:c r="G90" s="18" t="n">
        <x:f>G89*'Assumptions'!$E$143/G9</x:f>
        <x:v>0.7568753346000001</x:v>
      </x:c>
      <x:c r="H90" s="18" t="n">
        <x:f>H89*'Assumptions'!$E$143/H9</x:f>
        <x:v>1.11008382408</x:v>
      </x:c>
      <x:c r="I90" s="18" t="n">
        <x:f>I89*'Assumptions'!$E$143/I9</x:f>
        <x:v>1.5137506692000002</x:v>
      </x:c>
      <x:c r="J90" s="18" t="n">
        <x:f>J89*'Assumptions'!$E$143/J9</x:f>
        <x:v>2.0183342256000003</x:v>
      </x:c>
      <x:c r="K90" s="18" t="n">
        <x:f>K89*'Assumptions'!$E$143/K9</x:f>
        <x:v>2.522917782000001</x:v>
      </x:c>
      <x:c r="L90" s="18" t="n">
        <x:f>L89*'Assumptions'!$E$143/L9</x:f>
        <x:v>3.0275013384000005</x:v>
      </x:c>
      <x:c r="M90" s="18" t="n">
        <x:f>M89*'Assumptions'!$E$143/M9</x:f>
        <x:v>3.532084894800001</x:v>
      </x:c>
      <x:c r="N90" s="18" t="n">
        <x:f>N89*'Assumptions'!$E$143/N9</x:f>
        <x:v>4.0366684512</x:v>
      </x:c>
      <x:c r="O90" s="18" t="n">
        <x:f>O89*'Assumptions'!$E$143/O9</x:f>
        <x:v>4.541252007600002</x:v>
      </x:c>
      <x:c r="P90" s="18" t="n">
        <x:f>P89*'Assumptions'!$E$143/P9</x:f>
        <x:v>5.045835564000002</x:v>
      </x:c>
      <x:c r="Q90" s="18" t="n">
        <x:f>Q89*'Assumptions'!$E$143/Q9</x:f>
        <x:v>5.045835564000001</x:v>
      </x:c>
    </x:row>
    <x:row r="91" ht="24" customHeight="1">
      <x:c r="A91" s="1"/>
      <x:c r="B91" s="1"/>
      <x:c r="C91" s="17" t="str">
        <x:v>Additional future Cloud Agents usage</x:v>
      </x:c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</x:row>
    <x:row r="92" ht="21" customHeight="1">
      <x:c r="A92" s="1"/>
      <x:c r="B92" s="1"/>
      <x:c r="C92" s="1" t="str">
        <x:v>http from running Agents</x:v>
      </x:c>
      <x:c r="D92" s="18" t="n">
        <x:f>SUM(F92:Q92)</x:f>
        <x:v>0</x:v>
      </x:c>
      <x:c r="E92" s="18"/>
      <x:c r="F92" s="18" t="n">
        <x:f>F14*'Assumptions'!$E$172</x:f>
        <x:v>0</x:v>
      </x:c>
      <x:c r="G92" s="18" t="n">
        <x:f>G14*'Assumptions'!$E$172</x:f>
        <x:v>0</x:v>
      </x:c>
      <x:c r="H92" s="18" t="n">
        <x:f>H14*'Assumptions'!$E$172</x:f>
        <x:v>0</x:v>
      </x:c>
      <x:c r="I92" s="18" t="n">
        <x:f>I14*'Assumptions'!$E$172</x:f>
        <x:v>0</x:v>
      </x:c>
      <x:c r="J92" s="18" t="n">
        <x:f>J14*'Assumptions'!$E$172</x:f>
        <x:v>0</x:v>
      </x:c>
      <x:c r="K92" s="18" t="n">
        <x:f>K14*'Assumptions'!$E$172</x:f>
        <x:v>0</x:v>
      </x:c>
      <x:c r="L92" s="18" t="n">
        <x:f>L14*'Assumptions'!$E$172</x:f>
        <x:v>0</x:v>
      </x:c>
      <x:c r="M92" s="18" t="n">
        <x:f>M14*'Assumptions'!$E$172</x:f>
        <x:v>0</x:v>
      </x:c>
      <x:c r="N92" s="18" t="n">
        <x:f>N14*'Assumptions'!$E$172</x:f>
        <x:v>0</x:v>
      </x:c>
      <x:c r="O92" s="18" t="n">
        <x:f>O14*'Assumptions'!$E$172</x:f>
        <x:v>0</x:v>
      </x:c>
      <x:c r="P92" s="18" t="n">
        <x:f>P14*'Assumptions'!$E$172</x:f>
        <x:v>0</x:v>
      </x:c>
      <x:c r="Q92" s="18" t="n">
        <x:f>Q14*'Assumptions'!$E$172</x:f>
        <x:v>0</x:v>
      </x:c>
    </x:row>
    <x:row r="93" ht="21" customHeight="1">
      <x:c r="A93" s="1"/>
      <x:c r="B93" s="1"/>
      <x:c r="C93" s="1" t="str">
        <x:v>cpu from running Agents</x:v>
      </x:c>
      <x:c r="D93" s="18" t="n">
        <x:f>SUM(F93:Q93)</x:f>
        <x:v>0</x:v>
      </x:c>
      <x:c r="E93" s="18"/>
      <x:c r="F93" s="18" t="n">
        <x:f>F14*'Assumptions'!$E$172*'Assumptions'!$E$135</x:f>
        <x:v>0</x:v>
      </x:c>
      <x:c r="G93" s="18" t="n">
        <x:f>G14*'Assumptions'!$E$172*'Assumptions'!$E$135</x:f>
        <x:v>0</x:v>
      </x:c>
      <x:c r="H93" s="18" t="n">
        <x:f>H14*'Assumptions'!$E$172*'Assumptions'!$E$135</x:f>
        <x:v>0</x:v>
      </x:c>
      <x:c r="I93" s="18" t="n">
        <x:f>I14*'Assumptions'!$E$172*'Assumptions'!$E$135</x:f>
        <x:v>0</x:v>
      </x:c>
      <x:c r="J93" s="18" t="n">
        <x:f>J14*'Assumptions'!$E$172*'Assumptions'!$E$135</x:f>
        <x:v>0</x:v>
      </x:c>
      <x:c r="K93" s="18" t="n">
        <x:f>K14*'Assumptions'!$E$172*'Assumptions'!$E$135</x:f>
        <x:v>0</x:v>
      </x:c>
      <x:c r="L93" s="18" t="n">
        <x:f>L14*'Assumptions'!$E$172*'Assumptions'!$E$135</x:f>
        <x:v>0</x:v>
      </x:c>
      <x:c r="M93" s="18" t="n">
        <x:f>M14*'Assumptions'!$E$172*'Assumptions'!$E$135</x:f>
        <x:v>0</x:v>
      </x:c>
      <x:c r="N93" s="18" t="n">
        <x:f>N14*'Assumptions'!$E$172*'Assumptions'!$E$135</x:f>
        <x:v>0</x:v>
      </x:c>
      <x:c r="O93" s="18" t="n">
        <x:f>O14*'Assumptions'!$E$172*'Assumptions'!$E$135</x:f>
        <x:v>0</x:v>
      </x:c>
      <x:c r="P93" s="18" t="n">
        <x:f>P14*'Assumptions'!$E$172*'Assumptions'!$E$135</x:f>
        <x:v>0</x:v>
      </x:c>
      <x:c r="Q93" s="18" t="n">
        <x:f>Q14*'Assumptions'!$E$172*'Assumptions'!$E$135</x:f>
        <x:v>0</x:v>
      </x:c>
    </x:row>
    <x:row r="94" ht="21" customHeight="1">
      <x:c r="A94" s="1"/>
      <x:c r="B94" s="1"/>
      <x:c r="C94" s="1" t="str">
        <x:v>doRequests from running Agents</x:v>
      </x:c>
      <x:c r="D94" s="18" t="n">
        <x:f>SUM(F94:Q94)</x:f>
        <x:v>0</x:v>
      </x:c>
      <x:c r="E94" s="18"/>
      <x:c r="F94" s="18" t="n">
        <x:f>F14*'Assumptions'!$E$173</x:f>
        <x:v>0</x:v>
      </x:c>
      <x:c r="G94" s="18" t="n">
        <x:f>G14*'Assumptions'!$E$173</x:f>
        <x:v>0</x:v>
      </x:c>
      <x:c r="H94" s="18" t="n">
        <x:f>H14*'Assumptions'!$E$173</x:f>
        <x:v>0</x:v>
      </x:c>
      <x:c r="I94" s="18" t="n">
        <x:f>I14*'Assumptions'!$E$173</x:f>
        <x:v>0</x:v>
      </x:c>
      <x:c r="J94" s="18" t="n">
        <x:f>J14*'Assumptions'!$E$173</x:f>
        <x:v>0</x:v>
      </x:c>
      <x:c r="K94" s="18" t="n">
        <x:f>K14*'Assumptions'!$E$173</x:f>
        <x:v>0</x:v>
      </x:c>
      <x:c r="L94" s="18" t="n">
        <x:f>L14*'Assumptions'!$E$173</x:f>
        <x:v>0</x:v>
      </x:c>
      <x:c r="M94" s="18" t="n">
        <x:f>M14*'Assumptions'!$E$173</x:f>
        <x:v>0</x:v>
      </x:c>
      <x:c r="N94" s="18" t="n">
        <x:f>N14*'Assumptions'!$E$173</x:f>
        <x:v>0</x:v>
      </x:c>
      <x:c r="O94" s="18" t="n">
        <x:f>O14*'Assumptions'!$E$173</x:f>
        <x:v>0</x:v>
      </x:c>
      <x:c r="P94" s="18" t="n">
        <x:f>P14*'Assumptions'!$E$173</x:f>
        <x:v>0</x:v>
      </x:c>
      <x:c r="Q94" s="18" t="n">
        <x:f>Q14*'Assumptions'!$E$173</x:f>
        <x:v>0</x:v>
      </x:c>
    </x:row>
    <x:row r="95" ht="21" customHeight="1">
      <x:c r="A95" s="1"/>
      <x:c r="B95" s="1"/>
      <x:c r="C95" s="1" t="str">
        <x:v>doDuration from running Agents</x:v>
      </x:c>
      <x:c r="D95" s="18" t="n">
        <x:f>SUM(F95:Q95)</x:f>
        <x:v>0</x:v>
      </x:c>
      <x:c r="E95" s="18"/>
      <x:c r="F95" s="18" t="n">
        <x:f>F14*3600*'Assumptions'!$E$138</x:f>
        <x:v>0</x:v>
      </x:c>
      <x:c r="G95" s="18" t="n">
        <x:f>G14*3600*'Assumptions'!$E$138</x:f>
        <x:v>0</x:v>
      </x:c>
      <x:c r="H95" s="18" t="n">
        <x:f>H14*3600*'Assumptions'!$E$138</x:f>
        <x:v>0</x:v>
      </x:c>
      <x:c r="I95" s="18" t="n">
        <x:f>I14*3600*'Assumptions'!$E$138</x:f>
        <x:v>0</x:v>
      </x:c>
      <x:c r="J95" s="18" t="n">
        <x:f>J14*3600*'Assumptions'!$E$138</x:f>
        <x:v>0</x:v>
      </x:c>
      <x:c r="K95" s="18" t="n">
        <x:f>K14*3600*'Assumptions'!$E$138</x:f>
        <x:v>0</x:v>
      </x:c>
      <x:c r="L95" s="18" t="n">
        <x:f>L14*3600*'Assumptions'!$E$138</x:f>
        <x:v>0</x:v>
      </x:c>
      <x:c r="M95" s="18" t="n">
        <x:f>M14*3600*'Assumptions'!$E$138</x:f>
        <x:v>0</x:v>
      </x:c>
      <x:c r="N95" s="18" t="n">
        <x:f>N14*3600*'Assumptions'!$E$138</x:f>
        <x:v>0</x:v>
      </x:c>
      <x:c r="O95" s="18" t="n">
        <x:f>O14*3600*'Assumptions'!$E$138</x:f>
        <x:v>0</x:v>
      </x:c>
      <x:c r="P95" s="18" t="n">
        <x:f>P14*3600*'Assumptions'!$E$138</x:f>
        <x:v>0</x:v>
      </x:c>
      <x:c r="Q95" s="18" t="n">
        <x:f>Q14*3600*'Assumptions'!$E$138</x:f>
        <x:v>0</x:v>
      </x:c>
    </x:row>
    <x:row r="96" ht="21" customHeight="1">
      <x:c r="A96" s="1"/>
      <x:c r="B96" s="1"/>
      <x:c r="C96" s="1" t="str">
        <x:v>doReads from running Agents</x:v>
      </x:c>
      <x:c r="D96" s="18" t="n">
        <x:f>SUM(F96:Q96)</x:f>
        <x:v>0</x:v>
      </x:c>
      <x:c r="E96" s="18"/>
      <x:c r="F96" s="18" t="n">
        <x:f>F14*'Assumptions'!$E$175</x:f>
        <x:v>0</x:v>
      </x:c>
      <x:c r="G96" s="18" t="n">
        <x:f>G14*'Assumptions'!$E$175</x:f>
        <x:v>0</x:v>
      </x:c>
      <x:c r="H96" s="18" t="n">
        <x:f>H14*'Assumptions'!$E$175</x:f>
        <x:v>0</x:v>
      </x:c>
      <x:c r="I96" s="18" t="n">
        <x:f>I14*'Assumptions'!$E$175</x:f>
        <x:v>0</x:v>
      </x:c>
      <x:c r="J96" s="18" t="n">
        <x:f>J14*'Assumptions'!$E$175</x:f>
        <x:v>0</x:v>
      </x:c>
      <x:c r="K96" s="18" t="n">
        <x:f>K14*'Assumptions'!$E$175</x:f>
        <x:v>0</x:v>
      </x:c>
      <x:c r="L96" s="18" t="n">
        <x:f>L14*'Assumptions'!$E$175</x:f>
        <x:v>0</x:v>
      </x:c>
      <x:c r="M96" s="18" t="n">
        <x:f>M14*'Assumptions'!$E$175</x:f>
        <x:v>0</x:v>
      </x:c>
      <x:c r="N96" s="18" t="n">
        <x:f>N14*'Assumptions'!$E$175</x:f>
        <x:v>0</x:v>
      </x:c>
      <x:c r="O96" s="18" t="n">
        <x:f>O14*'Assumptions'!$E$175</x:f>
        <x:v>0</x:v>
      </x:c>
      <x:c r="P96" s="18" t="n">
        <x:f>P14*'Assumptions'!$E$175</x:f>
        <x:v>0</x:v>
      </x:c>
      <x:c r="Q96" s="18" t="n">
        <x:f>Q14*'Assumptions'!$E$175</x:f>
        <x:v>0</x:v>
      </x:c>
    </x:row>
    <x:row r="97" ht="21" customHeight="1">
      <x:c r="A97" s="1"/>
      <x:c r="B97" s="1"/>
      <x:c r="C97" s="1" t="str">
        <x:v>doWrites from running Agents</x:v>
      </x:c>
      <x:c r="D97" s="18" t="n">
        <x:f>SUM(F97:Q97)</x:f>
        <x:v>0</x:v>
      </x:c>
      <x:c r="E97" s="18"/>
      <x:c r="F97" s="18" t="n">
        <x:f>F14*'Assumptions'!$E$174</x:f>
        <x:v>0</x:v>
      </x:c>
      <x:c r="G97" s="18" t="n">
        <x:f>G14*'Assumptions'!$E$174</x:f>
        <x:v>0</x:v>
      </x:c>
      <x:c r="H97" s="18" t="n">
        <x:f>H14*'Assumptions'!$E$174</x:f>
        <x:v>0</x:v>
      </x:c>
      <x:c r="I97" s="18" t="n">
        <x:f>I14*'Assumptions'!$E$174</x:f>
        <x:v>0</x:v>
      </x:c>
      <x:c r="J97" s="18" t="n">
        <x:f>J14*'Assumptions'!$E$174</x:f>
        <x:v>0</x:v>
      </x:c>
      <x:c r="K97" s="18" t="n">
        <x:f>K14*'Assumptions'!$E$174</x:f>
        <x:v>0</x:v>
      </x:c>
      <x:c r="L97" s="18" t="n">
        <x:f>L14*'Assumptions'!$E$174</x:f>
        <x:v>0</x:v>
      </x:c>
      <x:c r="M97" s="18" t="n">
        <x:f>M14*'Assumptions'!$E$174</x:f>
        <x:v>0</x:v>
      </x:c>
      <x:c r="N97" s="18" t="n">
        <x:f>N14*'Assumptions'!$E$174</x:f>
        <x:v>0</x:v>
      </x:c>
      <x:c r="O97" s="18" t="n">
        <x:f>O14*'Assumptions'!$E$174</x:f>
        <x:v>0</x:v>
      </x:c>
      <x:c r="P97" s="18" t="n">
        <x:f>P14*'Assumptions'!$E$174</x:f>
        <x:v>0</x:v>
      </x:c>
      <x:c r="Q97" s="18" t="n">
        <x:f>Q14*'Assumptions'!$E$174</x:f>
        <x:v>0</x:v>
      </x:c>
    </x:row>
    <x:row r="98" ht="21" customHeight="1">
      <x:c r="A98" s="1"/>
      <x:c r="B98" s="1"/>
      <x:c r="C98" s="1" t="str">
        <x:v>logEvents from running Agents</x:v>
      </x:c>
      <x:c r="D98" s="18" t="n">
        <x:f>SUM(F98:Q98)</x:f>
        <x:v>0</x:v>
      </x:c>
      <x:c r="E98" s="18"/>
      <x:c r="F98" s="18" t="n">
        <x:f>F14*'Assumptions'!$E$176*1000000000/'Assumptions'!$E$142</x:f>
        <x:v>0</x:v>
      </x:c>
      <x:c r="G98" s="18" t="n">
        <x:f>G14*'Assumptions'!$E$176*1000000000/'Assumptions'!$E$142</x:f>
        <x:v>0</x:v>
      </x:c>
      <x:c r="H98" s="18" t="n">
        <x:f>H14*'Assumptions'!$E$176*1000000000/'Assumptions'!$E$142</x:f>
        <x:v>0</x:v>
      </x:c>
      <x:c r="I98" s="18" t="n">
        <x:f>I14*'Assumptions'!$E$176*1000000000/'Assumptions'!$E$142</x:f>
        <x:v>0</x:v>
      </x:c>
      <x:c r="J98" s="18" t="n">
        <x:f>J14*'Assumptions'!$E$176*1000000000/'Assumptions'!$E$142</x:f>
        <x:v>0</x:v>
      </x:c>
      <x:c r="K98" s="18" t="n">
        <x:f>K14*'Assumptions'!$E$176*1000000000/'Assumptions'!$E$142</x:f>
        <x:v>0</x:v>
      </x:c>
      <x:c r="L98" s="18" t="n">
        <x:f>L14*'Assumptions'!$E$176*1000000000/'Assumptions'!$E$142</x:f>
        <x:v>0</x:v>
      </x:c>
      <x:c r="M98" s="18" t="n">
        <x:f>M14*'Assumptions'!$E$176*1000000000/'Assumptions'!$E$142</x:f>
        <x:v>0</x:v>
      </x:c>
      <x:c r="N98" s="18" t="n">
        <x:f>N14*'Assumptions'!$E$176*1000000000/'Assumptions'!$E$142</x:f>
        <x:v>0</x:v>
      </x:c>
      <x:c r="O98" s="18" t="n">
        <x:f>O14*'Assumptions'!$E$176*1000000000/'Assumptions'!$E$142</x:f>
        <x:v>0</x:v>
      </x:c>
      <x:c r="P98" s="18" t="n">
        <x:f>P14*'Assumptions'!$E$176*1000000000/'Assumptions'!$E$142</x:f>
        <x:v>0</x:v>
      </x:c>
      <x:c r="Q98" s="18" t="n">
        <x:f>Q14*'Assumptions'!$E$176*1000000000/'Assumptions'!$E$142</x:f>
        <x:v>0</x:v>
      </x:c>
    </x:row>
    <x:row r="99" ht="21" customHeight="1">
      <x:c r="A99" s="1"/>
      <x:c r="B99" s="1"/>
      <x:c r="C99" s="1" t="str">
        <x:v>logGb from running Agents</x:v>
      </x:c>
      <x:c r="D99" s="18" t="n">
        <x:f>SUM(F99:Q99)</x:f>
        <x:v>0</x:v>
      </x:c>
      <x:c r="E99" s="18"/>
      <x:c r="F99" s="18" t="n">
        <x:f>F14*'Assumptions'!$E$176</x:f>
        <x:v>0</x:v>
      </x:c>
      <x:c r="G99" s="18" t="n">
        <x:f>G14*'Assumptions'!$E$176</x:f>
        <x:v>0</x:v>
      </x:c>
      <x:c r="H99" s="18" t="n">
        <x:f>H14*'Assumptions'!$E$176</x:f>
        <x:v>0</x:v>
      </x:c>
      <x:c r="I99" s="18" t="n">
        <x:f>I14*'Assumptions'!$E$176</x:f>
        <x:v>0</x:v>
      </x:c>
      <x:c r="J99" s="18" t="n">
        <x:f>J14*'Assumptions'!$E$176</x:f>
        <x:v>0</x:v>
      </x:c>
      <x:c r="K99" s="18" t="n">
        <x:f>K14*'Assumptions'!$E$176</x:f>
        <x:v>0</x:v>
      </x:c>
      <x:c r="L99" s="18" t="n">
        <x:f>L14*'Assumptions'!$E$176</x:f>
        <x:v>0</x:v>
      </x:c>
      <x:c r="M99" s="18" t="n">
        <x:f>M14*'Assumptions'!$E$176</x:f>
        <x:v>0</x:v>
      </x:c>
      <x:c r="N99" s="18" t="n">
        <x:f>N14*'Assumptions'!$E$176</x:f>
        <x:v>0</x:v>
      </x:c>
      <x:c r="O99" s="18" t="n">
        <x:f>O14*'Assumptions'!$E$176</x:f>
        <x:v>0</x:v>
      </x:c>
      <x:c r="P99" s="18" t="n">
        <x:f>P14*'Assumptions'!$E$176</x:f>
        <x:v>0</x:v>
      </x:c>
      <x:c r="Q99" s="18" t="n">
        <x:f>Q14*'Assumptions'!$E$176</x:f>
        <x:v>0</x:v>
      </x:c>
    </x:row>
    <x:row r="100" ht="21" customHeight="1">
      <x:c r="A100" s="1"/>
      <x:c r="B100" s="1"/>
      <x:c r="C100" s="1" t="str">
        <x:v>logStoredGb from running Agents</x:v>
      </x:c>
      <x:c r="D100" s="18" t="n">
        <x:f>SUM(F100:Q100)</x:f>
        <x:v>0</x:v>
      </x:c>
      <x:c r="E100" s="18"/>
      <x:c r="F100" s="18" t="n">
        <x:f>F14*'Assumptions'!$E$176*'Assumptions'!$E$143/F9</x:f>
        <x:v>0</x:v>
      </x:c>
      <x:c r="G100" s="18" t="n">
        <x:f>G14*'Assumptions'!$E$176*'Assumptions'!$E$143/G9</x:f>
        <x:v>0</x:v>
      </x:c>
      <x:c r="H100" s="18" t="n">
        <x:f>H14*'Assumptions'!$E$176*'Assumptions'!$E$143/H9</x:f>
        <x:v>0</x:v>
      </x:c>
      <x:c r="I100" s="18" t="n">
        <x:f>I14*'Assumptions'!$E$176*'Assumptions'!$E$143/I9</x:f>
        <x:v>0</x:v>
      </x:c>
      <x:c r="J100" s="18" t="n">
        <x:f>J14*'Assumptions'!$E$176*'Assumptions'!$E$143/J9</x:f>
        <x:v>0</x:v>
      </x:c>
      <x:c r="K100" s="18" t="n">
        <x:f>K14*'Assumptions'!$E$176*'Assumptions'!$E$143/K9</x:f>
        <x:v>0</x:v>
      </x:c>
      <x:c r="L100" s="18" t="n">
        <x:f>L14*'Assumptions'!$E$176*'Assumptions'!$E$143/L9</x:f>
        <x:v>0</x:v>
      </x:c>
      <x:c r="M100" s="18" t="n">
        <x:f>M14*'Assumptions'!$E$176*'Assumptions'!$E$143/M9</x:f>
        <x:v>0</x:v>
      </x:c>
      <x:c r="N100" s="18" t="n">
        <x:f>N14*'Assumptions'!$E$176*'Assumptions'!$E$143/N9</x:f>
        <x:v>0</x:v>
      </x:c>
      <x:c r="O100" s="18" t="n">
        <x:f>O14*'Assumptions'!$E$176*'Assumptions'!$E$143/O9</x:f>
        <x:v>0</x:v>
      </x:c>
      <x:c r="P100" s="18" t="n">
        <x:f>P14*'Assumptions'!$E$176*'Assumptions'!$E$143/P9</x:f>
        <x:v>0</x:v>
      </x:c>
      <x:c r="Q100" s="18" t="n">
        <x:f>Q14*'Assumptions'!$E$176*'Assumptions'!$E$143/Q9</x:f>
        <x:v>0</x:v>
      </x:c>
    </x:row>
    <x:row r="101" ht="21" customHeight="1">
      <x:c r="A101" s="1"/>
      <x:c r="B101" s="1"/>
      <x:c r="C101" s="1" t="str">
        <x:v>Active vCPU-hours</x:v>
      </x:c>
      <x:c r="D101" s="18" t="n">
        <x:f>SUM(F101:Q101)</x:f>
        <x:v>0</x:v>
      </x:c>
      <x:c r="E101" s="18"/>
      <x:c r="F101" s="18" t="n">
        <x:f>F14*'Assumptions'!$E$167*'Assumptions'!$E$170</x:f>
        <x:v>0</x:v>
      </x:c>
      <x:c r="G101" s="18" t="n">
        <x:f>G14*'Assumptions'!$E$167*'Assumptions'!$E$170</x:f>
        <x:v>0</x:v>
      </x:c>
      <x:c r="H101" s="18" t="n">
        <x:f>H14*'Assumptions'!$E$167*'Assumptions'!$E$170</x:f>
        <x:v>0</x:v>
      </x:c>
      <x:c r="I101" s="18" t="n">
        <x:f>I14*'Assumptions'!$E$167*'Assumptions'!$E$170</x:f>
        <x:v>0</x:v>
      </x:c>
      <x:c r="J101" s="18" t="n">
        <x:f>J14*'Assumptions'!$E$167*'Assumptions'!$E$170</x:f>
        <x:v>0</x:v>
      </x:c>
      <x:c r="K101" s="18" t="n">
        <x:f>K14*'Assumptions'!$E$167*'Assumptions'!$E$170</x:f>
        <x:v>0</x:v>
      </x:c>
      <x:c r="L101" s="18" t="n">
        <x:f>L14*'Assumptions'!$E$167*'Assumptions'!$E$170</x:f>
        <x:v>0</x:v>
      </x:c>
      <x:c r="M101" s="18" t="n">
        <x:f>M14*'Assumptions'!$E$167*'Assumptions'!$E$170</x:f>
        <x:v>0</x:v>
      </x:c>
      <x:c r="N101" s="18" t="n">
        <x:f>N14*'Assumptions'!$E$167*'Assumptions'!$E$170</x:f>
        <x:v>0</x:v>
      </x:c>
      <x:c r="O101" s="18" t="n">
        <x:f>O14*'Assumptions'!$E$167*'Assumptions'!$E$170</x:f>
        <x:v>0</x:v>
      </x:c>
      <x:c r="P101" s="18" t="n">
        <x:f>P14*'Assumptions'!$E$167*'Assumptions'!$E$170</x:f>
        <x:v>0</x:v>
      </x:c>
      <x:c r="Q101" s="18" t="n">
        <x:f>Q14*'Assumptions'!$E$167*'Assumptions'!$E$170</x:f>
        <x:v>0</x:v>
      </x:c>
    </x:row>
    <x:row r="102" ht="21" customHeight="1">
      <x:c r="A102" s="1"/>
      <x:c r="B102" s="1"/>
      <x:c r="C102" s="1" t="str">
        <x:v>Provisioned GiB-hours</x:v>
      </x:c>
      <x:c r="D102" s="18" t="n">
        <x:f>SUM(F102:Q102)</x:f>
        <x:v>0</x:v>
      </x:c>
      <x:c r="E102" s="18"/>
      <x:c r="F102" s="18" t="n">
        <x:f>F14*'Assumptions'!$E$168</x:f>
        <x:v>0</x:v>
      </x:c>
      <x:c r="G102" s="18" t="n">
        <x:f>G14*'Assumptions'!$E$168</x:f>
        <x:v>0</x:v>
      </x:c>
      <x:c r="H102" s="18" t="n">
        <x:f>H14*'Assumptions'!$E$168</x:f>
        <x:v>0</x:v>
      </x:c>
      <x:c r="I102" s="18" t="n">
        <x:f>I14*'Assumptions'!$E$168</x:f>
        <x:v>0</x:v>
      </x:c>
      <x:c r="J102" s="18" t="n">
        <x:f>J14*'Assumptions'!$E$168</x:f>
        <x:v>0</x:v>
      </x:c>
      <x:c r="K102" s="18" t="n">
        <x:f>K14*'Assumptions'!$E$168</x:f>
        <x:v>0</x:v>
      </x:c>
      <x:c r="L102" s="18" t="n">
        <x:f>L14*'Assumptions'!$E$168</x:f>
        <x:v>0</x:v>
      </x:c>
      <x:c r="M102" s="18" t="n">
        <x:f>M14*'Assumptions'!$E$168</x:f>
        <x:v>0</x:v>
      </x:c>
      <x:c r="N102" s="18" t="n">
        <x:f>N14*'Assumptions'!$E$168</x:f>
        <x:v>0</x:v>
      </x:c>
      <x:c r="O102" s="18" t="n">
        <x:f>O14*'Assumptions'!$E$168</x:f>
        <x:v>0</x:v>
      </x:c>
      <x:c r="P102" s="18" t="n">
        <x:f>P14*'Assumptions'!$E$168</x:f>
        <x:v>0</x:v>
      </x:c>
      <x:c r="Q102" s="18" t="n">
        <x:f>Q14*'Assumptions'!$E$168</x:f>
        <x:v>0</x:v>
      </x:c>
    </x:row>
    <x:row r="103" ht="21" customHeight="1">
      <x:c r="A103" s="1"/>
      <x:c r="B103" s="1"/>
      <x:c r="C103" s="1" t="str">
        <x:v>Provisioned GB-hours</x:v>
      </x:c>
      <x:c r="D103" s="18" t="n">
        <x:f>SUM(F103:Q103)</x:f>
        <x:v>0</x:v>
      </x:c>
      <x:c r="E103" s="18"/>
      <x:c r="F103" s="18" t="n">
        <x:f>F14*'Assumptions'!$E$169</x:f>
        <x:v>0</x:v>
      </x:c>
      <x:c r="G103" s="18" t="n">
        <x:f>G14*'Assumptions'!$E$169</x:f>
        <x:v>0</x:v>
      </x:c>
      <x:c r="H103" s="18" t="n">
        <x:f>H14*'Assumptions'!$E$169</x:f>
        <x:v>0</x:v>
      </x:c>
      <x:c r="I103" s="18" t="n">
        <x:f>I14*'Assumptions'!$E$169</x:f>
        <x:v>0</x:v>
      </x:c>
      <x:c r="J103" s="18" t="n">
        <x:f>J14*'Assumptions'!$E$169</x:f>
        <x:v>0</x:v>
      </x:c>
      <x:c r="K103" s="18" t="n">
        <x:f>K14*'Assumptions'!$E$169</x:f>
        <x:v>0</x:v>
      </x:c>
      <x:c r="L103" s="18" t="n">
        <x:f>L14*'Assumptions'!$E$169</x:f>
        <x:v>0</x:v>
      </x:c>
      <x:c r="M103" s="18" t="n">
        <x:f>M14*'Assumptions'!$E$169</x:f>
        <x:v>0</x:v>
      </x:c>
      <x:c r="N103" s="18" t="n">
        <x:f>N14*'Assumptions'!$E$169</x:f>
        <x:v>0</x:v>
      </x:c>
      <x:c r="O103" s="18" t="n">
        <x:f>O14*'Assumptions'!$E$169</x:f>
        <x:v>0</x:v>
      </x:c>
      <x:c r="P103" s="18" t="n">
        <x:f>P14*'Assumptions'!$E$169</x:f>
        <x:v>0</x:v>
      </x:c>
      <x:c r="Q103" s="18" t="n">
        <x:f>Q14*'Assumptions'!$E$169</x:f>
        <x:v>0</x:v>
      </x:c>
    </x:row>
    <x:row r="104" ht="21" customHeight="1">
      <x:c r="A104" s="1"/>
      <x:c r="B104" s="1"/>
      <x:c r="C104" s="1" t="str">
        <x:v>Container egress GB</x:v>
      </x:c>
      <x:c r="D104" s="18" t="n">
        <x:f>SUM(F104:Q104)</x:f>
        <x:v>0</x:v>
      </x:c>
      <x:c r="E104" s="18"/>
      <x:c r="F104" s="18" t="n">
        <x:f>F14*'Assumptions'!$E$177</x:f>
        <x:v>0</x:v>
      </x:c>
      <x:c r="G104" s="18" t="n">
        <x:f>G14*'Assumptions'!$E$177</x:f>
        <x:v>0</x:v>
      </x:c>
      <x:c r="H104" s="18" t="n">
        <x:f>H14*'Assumptions'!$E$177</x:f>
        <x:v>0</x:v>
      </x:c>
      <x:c r="I104" s="18" t="n">
        <x:f>I14*'Assumptions'!$E$177</x:f>
        <x:v>0</x:v>
      </x:c>
      <x:c r="J104" s="18" t="n">
        <x:f>J14*'Assumptions'!$E$177</x:f>
        <x:v>0</x:v>
      </x:c>
      <x:c r="K104" s="18" t="n">
        <x:f>K14*'Assumptions'!$E$177</x:f>
        <x:v>0</x:v>
      </x:c>
      <x:c r="L104" s="18" t="n">
        <x:f>L14*'Assumptions'!$E$177</x:f>
        <x:v>0</x:v>
      </x:c>
      <x:c r="M104" s="18" t="n">
        <x:f>M14*'Assumptions'!$E$177</x:f>
        <x:v>0</x:v>
      </x:c>
      <x:c r="N104" s="18" t="n">
        <x:f>N14*'Assumptions'!$E$177</x:f>
        <x:v>0</x:v>
      </x:c>
      <x:c r="O104" s="18" t="n">
        <x:f>O14*'Assumptions'!$E$177</x:f>
        <x:v>0</x:v>
      </x:c>
      <x:c r="P104" s="18" t="n">
        <x:f>P14*'Assumptions'!$E$177</x:f>
        <x:v>0</x:v>
      </x:c>
      <x:c r="Q104" s="18" t="n">
        <x:f>Q14*'Assumptions'!$E$177</x:f>
        <x:v>0</x:v>
      </x:c>
    </x:row>
    <x:row r="105" ht="24" customHeight="1">
      <x:c r="A105" s="1"/>
      <x:c r="B105" s="1"/>
      <x:c r="C105" s="17" t="str">
        <x:v>Free service Cloudflare charges (USD)</x:v>
      </x:c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</x:row>
    <x:row r="106" ht="21" customHeight="1">
      <x:c r="A106" s="1"/>
      <x:c r="B106" s="1"/>
      <x:c r="C106" s="1" t="str">
        <x:v>Workers shared monthly minimum</x:v>
      </x:c>
      <x:c r="D106" s="18" t="n">
        <x:f>SUM(F106:Q106)</x:f>
        <x:v>60</x:v>
      </x:c>
      <x:c r="E106" s="18"/>
      <x:c r="F106" s="18" t="n">
        <x:f>'Assumptions'!$E$188</x:f>
        <x:v>5</x:v>
      </x:c>
      <x:c r="G106" s="18" t="n">
        <x:f>'Assumptions'!$E$188</x:f>
        <x:v>5</x:v>
      </x:c>
      <x:c r="H106" s="18" t="n">
        <x:f>'Assumptions'!$E$188</x:f>
        <x:v>5</x:v>
      </x:c>
      <x:c r="I106" s="18" t="n">
        <x:f>'Assumptions'!$E$188</x:f>
        <x:v>5</x:v>
      </x:c>
      <x:c r="J106" s="18" t="n">
        <x:f>'Assumptions'!$E$188</x:f>
        <x:v>5</x:v>
      </x:c>
      <x:c r="K106" s="18" t="n">
        <x:f>'Assumptions'!$E$188</x:f>
        <x:v>5</x:v>
      </x:c>
      <x:c r="L106" s="18" t="n">
        <x:f>'Assumptions'!$E$188</x:f>
        <x:v>5</x:v>
      </x:c>
      <x:c r="M106" s="18" t="n">
        <x:f>'Assumptions'!$E$188</x:f>
        <x:v>5</x:v>
      </x:c>
      <x:c r="N106" s="18" t="n">
        <x:f>'Assumptions'!$E$188</x:f>
        <x:v>5</x:v>
      </x:c>
      <x:c r="O106" s="18" t="n">
        <x:f>'Assumptions'!$E$188</x:f>
        <x:v>5</x:v>
      </x:c>
      <x:c r="P106" s="18" t="n">
        <x:f>'Assumptions'!$E$188</x:f>
        <x:v>5</x:v>
      </x:c>
      <x:c r="Q106" s="18" t="n">
        <x:f>'Assumptions'!$E$188</x:f>
        <x:v>5</x:v>
      </x:c>
    </x:row>
    <x:row r="107" ht="21" customHeight="1">
      <x:c r="A107" s="1"/>
      <x:c r="B107" s="1"/>
      <x:c r="C107" s="1" t="str">
        <x:v>Worker requests</x:v>
      </x:c>
      <x:c r="D107" s="18" t="n">
        <x:f>SUM(F107:Q107)</x:f>
        <x:v>18.237739279200003</x:v>
      </x:c>
      <x:c r="E107" s="18"/>
      <x:c r="F107" s="18" t="n">
        <x:f>MAX(0,F75-'Assumptions'!$E$189)/1000000*'Assumptions'!$E$190</x:f>
        <x:v>0</x:v>
      </x:c>
      <x:c r="G107" s="18" t="n">
        <x:f>MAX(0,G75-'Assumptions'!$E$189)/1000000*'Assumptions'!$E$190</x:f>
        <x:v>0</x:v>
      </x:c>
      <x:c r="H107" s="18" t="n">
        <x:f>MAX(0,H75-'Assumptions'!$E$189)/1000000*'Assumptions'!$E$190</x:f>
        <x:v>0</x:v>
      </x:c>
      <x:c r="I107" s="18" t="n">
        <x:f>MAX(0,I75-'Assumptions'!$E$189)/1000000*'Assumptions'!$E$190</x:f>
        <x:v>0</x:v>
      </x:c>
      <x:c r="J107" s="18" t="n">
        <x:f>MAX(0,J75-'Assumptions'!$E$189)/1000000*'Assumptions'!$E$190</x:f>
        <x:v>0</x:v>
      </x:c>
      <x:c r="K107" s="18" t="n">
        <x:f>MAX(0,K75-'Assumptions'!$E$189)/1000000*'Assumptions'!$E$190</x:f>
        <x:v>0.6179949960000005</x:v>
      </x:c>
      <x:c r="L107" s="18" t="n">
        <x:f>MAX(0,L75-'Assumptions'!$E$189)/1000000*'Assumptions'!$E$190</x:f>
        <x:v>1.2015425760000005</x:v>
      </x:c>
      <x:c r="M107" s="18" t="n">
        <x:f>MAX(0,M75-'Assumptions'!$E$189)/1000000*'Assumptions'!$E$190</x:f>
        <x:v>2.0651929944000003</x:v>
      </x:c>
      <x:c r="N107" s="18" t="n">
        <x:f>MAX(0,N75-'Assumptions'!$E$189)/1000000*'Assumptions'!$E$190</x:f>
        <x:v>2.6020567680000006</x:v>
      </x:c>
      <x:c r="O107" s="18" t="n">
        <x:f>MAX(0,O75-'Assumptions'!$E$189)/1000000*'Assumptions'!$E$190</x:f>
        <x:v>3.5123909928000008</x:v>
      </x:c>
      <x:c r="P107" s="18" t="n">
        <x:f>MAX(0,P75-'Assumptions'!$E$189)/1000000*'Assumptions'!$E$190</x:f>
        <x:v>4.235989992000001</x:v>
      </x:c>
      <x:c r="Q107" s="18" t="n">
        <x:f>MAX(0,Q75-'Assumptions'!$E$189)/1000000*'Assumptions'!$E$190</x:f>
        <x:v>4.002570960000001</x:v>
      </x:c>
    </x:row>
    <x:row r="108" ht="21" customHeight="1">
      <x:c r="A108" s="1"/>
      <x:c r="B108" s="1"/>
      <x:c r="C108" s="1" t="str">
        <x:v>Worker CPU</x:v>
      </x:c>
      <x:c r="D108" s="18" t="n">
        <x:f>SUM(F108:Q108)</x:f>
        <x:v>9.274276478400003</x:v>
      </x:c>
      <x:c r="E108" s="18"/>
      <x:c r="F108" s="18" t="n">
        <x:f>MAX(0,F76-'Assumptions'!$E$191)/1000000*'Assumptions'!$E$192</x:f>
        <x:v>0</x:v>
      </x:c>
      <x:c r="G108" s="18" t="n">
        <x:f>MAX(0,G76-'Assumptions'!$E$191)/1000000*'Assumptions'!$E$192</x:f>
        <x:v>0</x:v>
      </x:c>
      <x:c r="H108" s="18" t="n">
        <x:f>MAX(0,H76-'Assumptions'!$E$191)/1000000*'Assumptions'!$E$192</x:f>
        <x:v>0</x:v>
      </x:c>
      <x:c r="I108" s="18" t="n">
        <x:f>MAX(0,I76-'Assumptions'!$E$191)/1000000*'Assumptions'!$E$192</x:f>
        <x:v>0.12359899920000017</x:v>
      </x:c>
      <x:c r="J108" s="18" t="n">
        <x:f>MAX(0,J76-'Assumptions'!$E$191)/1000000*'Assumptions'!$E$192</x:f>
        <x:v>0.2714310528</x:v>
      </x:c>
      <x:c r="K108" s="18" t="n">
        <x:f>MAX(0,K76-'Assumptions'!$E$191)/1000000*'Assumptions'!$E$192</x:f>
        <x:v>0.6059983320000002</x:v>
      </x:c>
      <x:c r="L108" s="18" t="n">
        <x:f>MAX(0,L76-'Assumptions'!$E$191)/1000000*'Assumptions'!$E$192</x:f>
        <x:v>0.8005141920000002</x:v>
      </x:c>
      <x:c r="M108" s="18" t="n">
        <x:f>MAX(0,M76-'Assumptions'!$E$191)/1000000*'Assumptions'!$E$192</x:f>
        <x:v>1.0883976648000002</x:v>
      </x:c>
      <x:c r="N108" s="18" t="n">
        <x:f>MAX(0,N76-'Assumptions'!$E$191)/1000000*'Assumptions'!$E$192</x:f>
        <x:v>1.2673522560000003</x:v>
      </x:c>
      <x:c r="O108" s="18" t="n">
        <x:f>MAX(0,O76-'Assumptions'!$E$191)/1000000*'Assumptions'!$E$192</x:f>
        <x:v>1.5707969976000005</x:v>
      </x:c>
      <x:c r="P108" s="18" t="n">
        <x:f>MAX(0,P76-'Assumptions'!$E$191)/1000000*'Assumptions'!$E$192</x:f>
        <x:v>1.8119966640000005</x:v>
      </x:c>
      <x:c r="Q108" s="18" t="n">
        <x:f>MAX(0,Q76-'Assumptions'!$E$191)/1000000*'Assumptions'!$E$192</x:f>
        <x:v>1.7341903200000002</x:v>
      </x:c>
    </x:row>
    <x:row r="109" ht="21" customHeight="1">
      <x:c r="A109" s="1"/>
      <x:c r="B109" s="1"/>
      <x:c r="C109" s="1" t="str">
        <x:v>Backend-object requests</x:v>
      </x:c>
      <x:c r="D109" s="18" t="n">
        <x:f>SUM(F109:Q109)</x:f>
        <x:v>84.74999999999999</x:v>
      </x:c>
      <x:c r="E109" s="18"/>
      <x:c r="F109" s="18" t="n">
        <x:f>ROUNDUP(MAX(0,F77-'Assumptions'!$E$193)/1000000,0)*'Assumptions'!$E$194</x:f>
        <x:v>1.05</x:v>
      </x:c>
      <x:c r="G109" s="18" t="n">
        <x:f>ROUNDUP(MAX(0,G77-'Assumptions'!$E$193)/1000000,0)*'Assumptions'!$E$194</x:f>
        <x:v>1.7999999999999998</x:v>
      </x:c>
      <x:c r="H109" s="18" t="n">
        <x:f>ROUNDUP(MAX(0,H77-'Assumptions'!$E$193)/1000000,0)*'Assumptions'!$E$194</x:f>
        <x:v>2.85</x:v>
      </x:c>
      <x:c r="I109" s="18" t="n">
        <x:f>ROUNDUP(MAX(0,I77-'Assumptions'!$E$193)/1000000,0)*'Assumptions'!$E$194</x:f>
        <x:v>3.9</x:v>
      </x:c>
      <x:c r="J109" s="18" t="n">
        <x:f>ROUNDUP(MAX(0,J77-'Assumptions'!$E$193)/1000000,0)*'Assumptions'!$E$194</x:f>
        <x:v>4.6499999999999995</x:v>
      </x:c>
      <x:c r="K109" s="18" t="n">
        <x:f>ROUNDUP(MAX(0,K77-'Assumptions'!$E$193)/1000000,0)*'Assumptions'!$E$194</x:f>
        <x:v>6.45</x:v>
      </x:c>
      <x:c r="L109" s="18" t="n">
        <x:f>ROUNDUP(MAX(0,L77-'Assumptions'!$E$193)/1000000,0)*'Assumptions'!$E$194</x:f>
        <x:v>7.5</x:v>
      </x:c>
      <x:c r="M109" s="18" t="n">
        <x:f>ROUNDUP(MAX(0,M77-'Assumptions'!$E$193)/1000000,0)*'Assumptions'!$E$194</x:f>
        <x:v>9.15</x:v>
      </x:c>
      <x:c r="N109" s="18" t="n">
        <x:f>ROUNDUP(MAX(0,N77-'Assumptions'!$E$193)/1000000,0)*'Assumptions'!$E$194</x:f>
        <x:v>10.049999999999999</x:v>
      </x:c>
      <x:c r="O109" s="18" t="n">
        <x:f>ROUNDUP(MAX(0,O77-'Assumptions'!$E$193)/1000000,0)*'Assumptions'!$E$194</x:f>
        <x:v>11.7</x:v>
      </x:c>
      <x:c r="P109" s="18" t="n">
        <x:f>ROUNDUP(MAX(0,P77-'Assumptions'!$E$193)/1000000,0)*'Assumptions'!$E$194</x:f>
        <x:v>13.049999999999999</x:v>
      </x:c>
      <x:c r="Q109" s="18" t="n">
        <x:f>ROUNDUP(MAX(0,Q77-'Assumptions'!$E$193)/1000000,0)*'Assumptions'!$E$194</x:f>
        <x:v>12.6</x:v>
      </x:c>
    </x:row>
    <x:row r="110" ht="21" customHeight="1">
      <x:c r="A110" s="1"/>
      <x:c r="B110" s="1"/>
      <x:c r="C110" s="1" t="str">
        <x:v>Backend-object duration</x:v>
      </x:c>
      <x:c r="D110" s="18" t="n">
        <x:f>SUM(F110:Q110)</x:f>
        <x:v>0</x:v>
      </x:c>
      <x:c r="E110" s="18"/>
      <x:c r="F110" s="18" t="n">
        <x:f>ROUNDUP(MAX(0,F78-'Assumptions'!$E$195)/1000000,0)*'Assumptions'!$E$196</x:f>
        <x:v>0</x:v>
      </x:c>
      <x:c r="G110" s="18" t="n">
        <x:f>ROUNDUP(MAX(0,G78-'Assumptions'!$E$195)/1000000,0)*'Assumptions'!$E$196</x:f>
        <x:v>0</x:v>
      </x:c>
      <x:c r="H110" s="18" t="n">
        <x:f>ROUNDUP(MAX(0,H78-'Assumptions'!$E$195)/1000000,0)*'Assumptions'!$E$196</x:f>
        <x:v>0</x:v>
      </x:c>
      <x:c r="I110" s="18" t="n">
        <x:f>ROUNDUP(MAX(0,I78-'Assumptions'!$E$195)/1000000,0)*'Assumptions'!$E$196</x:f>
        <x:v>0</x:v>
      </x:c>
      <x:c r="J110" s="18" t="n">
        <x:f>ROUNDUP(MAX(0,J78-'Assumptions'!$E$195)/1000000,0)*'Assumptions'!$E$196</x:f>
        <x:v>0</x:v>
      </x:c>
      <x:c r="K110" s="18" t="n">
        <x:f>ROUNDUP(MAX(0,K78-'Assumptions'!$E$195)/1000000,0)*'Assumptions'!$E$196</x:f>
        <x:v>0</x:v>
      </x:c>
      <x:c r="L110" s="18" t="n">
        <x:f>ROUNDUP(MAX(0,L78-'Assumptions'!$E$195)/1000000,0)*'Assumptions'!$E$196</x:f>
        <x:v>0</x:v>
      </x:c>
      <x:c r="M110" s="18" t="n">
        <x:f>ROUNDUP(MAX(0,M78-'Assumptions'!$E$195)/1000000,0)*'Assumptions'!$E$196</x:f>
        <x:v>0</x:v>
      </x:c>
      <x:c r="N110" s="18" t="n">
        <x:f>ROUNDUP(MAX(0,N78-'Assumptions'!$E$195)/1000000,0)*'Assumptions'!$E$196</x:f>
        <x:v>0</x:v>
      </x:c>
      <x:c r="O110" s="18" t="n">
        <x:f>ROUNDUP(MAX(0,O78-'Assumptions'!$E$195)/1000000,0)*'Assumptions'!$E$196</x:f>
        <x:v>0</x:v>
      </x:c>
      <x:c r="P110" s="18" t="n">
        <x:f>ROUNDUP(MAX(0,P78-'Assumptions'!$E$195)/1000000,0)*'Assumptions'!$E$196</x:f>
        <x:v>0</x:v>
      </x:c>
      <x:c r="Q110" s="18" t="n">
        <x:f>ROUNDUP(MAX(0,Q78-'Assumptions'!$E$195)/1000000,0)*'Assumptions'!$E$196</x:f>
        <x:v>0</x:v>
      </x:c>
    </x:row>
    <x:row r="111" ht="21" customHeight="1">
      <x:c r="A111" s="1"/>
      <x:c r="B111" s="1"/>
      <x:c r="C111" s="1" t="str">
        <x:v>SQLite reads</x:v>
      </x:c>
      <x:c r="D111" s="18" t="n">
        <x:f>SUM(F111:Q111)</x:f>
        <x:v>0</x:v>
      </x:c>
      <x:c r="E111" s="18"/>
      <x:c r="F111" s="18" t="n">
        <x:f>MAX(0,F79-'Assumptions'!$E$197)/1000000*'Assumptions'!$E$198</x:f>
        <x:v>0</x:v>
      </x:c>
      <x:c r="G111" s="18" t="n">
        <x:f>MAX(0,G79-'Assumptions'!$E$197)/1000000*'Assumptions'!$E$198</x:f>
        <x:v>0</x:v>
      </x:c>
      <x:c r="H111" s="18" t="n">
        <x:f>MAX(0,H79-'Assumptions'!$E$197)/1000000*'Assumptions'!$E$198</x:f>
        <x:v>0</x:v>
      </x:c>
      <x:c r="I111" s="18" t="n">
        <x:f>MAX(0,I79-'Assumptions'!$E$197)/1000000*'Assumptions'!$E$198</x:f>
        <x:v>0</x:v>
      </x:c>
      <x:c r="J111" s="18" t="n">
        <x:f>MAX(0,J79-'Assumptions'!$E$197)/1000000*'Assumptions'!$E$198</x:f>
        <x:v>0</x:v>
      </x:c>
      <x:c r="K111" s="18" t="n">
        <x:f>MAX(0,K79-'Assumptions'!$E$197)/1000000*'Assumptions'!$E$198</x:f>
        <x:v>0</x:v>
      </x:c>
      <x:c r="L111" s="18" t="n">
        <x:f>MAX(0,L79-'Assumptions'!$E$197)/1000000*'Assumptions'!$E$198</x:f>
        <x:v>0</x:v>
      </x:c>
      <x:c r="M111" s="18" t="n">
        <x:f>MAX(0,M79-'Assumptions'!$E$197)/1000000*'Assumptions'!$E$198</x:f>
        <x:v>0</x:v>
      </x:c>
      <x:c r="N111" s="18" t="n">
        <x:f>MAX(0,N79-'Assumptions'!$E$197)/1000000*'Assumptions'!$E$198</x:f>
        <x:v>0</x:v>
      </x:c>
      <x:c r="O111" s="18" t="n">
        <x:f>MAX(0,O79-'Assumptions'!$E$197)/1000000*'Assumptions'!$E$198</x:f>
        <x:v>0</x:v>
      </x:c>
      <x:c r="P111" s="18" t="n">
        <x:f>MAX(0,P79-'Assumptions'!$E$197)/1000000*'Assumptions'!$E$198</x:f>
        <x:v>0</x:v>
      </x:c>
      <x:c r="Q111" s="18" t="n">
        <x:f>MAX(0,Q79-'Assumptions'!$E$197)/1000000*'Assumptions'!$E$198</x:f>
        <x:v>0</x:v>
      </x:c>
    </x:row>
    <x:row r="112" ht="21" customHeight="1">
      <x:c r="A112" s="1"/>
      <x:c r="B112" s="1"/>
      <x:c r="C112" s="1" t="str">
        <x:v>SQLite writes</x:v>
      </x:c>
      <x:c r="D112" s="18" t="n">
        <x:f>SUM(F112:Q112)</x:f>
        <x:v>0</x:v>
      </x:c>
      <x:c r="E112" s="18"/>
      <x:c r="F112" s="18" t="n">
        <x:f>MAX(0,F80-'Assumptions'!$E$199)/1000000*'Assumptions'!$E$200</x:f>
        <x:v>0</x:v>
      </x:c>
      <x:c r="G112" s="18" t="n">
        <x:f>MAX(0,G80-'Assumptions'!$E$199)/1000000*'Assumptions'!$E$200</x:f>
        <x:v>0</x:v>
      </x:c>
      <x:c r="H112" s="18" t="n">
        <x:f>MAX(0,H80-'Assumptions'!$E$199)/1000000*'Assumptions'!$E$200</x:f>
        <x:v>0</x:v>
      </x:c>
      <x:c r="I112" s="18" t="n">
        <x:f>MAX(0,I80-'Assumptions'!$E$199)/1000000*'Assumptions'!$E$200</x:f>
        <x:v>0</x:v>
      </x:c>
      <x:c r="J112" s="18" t="n">
        <x:f>MAX(0,J80-'Assumptions'!$E$199)/1000000*'Assumptions'!$E$200</x:f>
        <x:v>0</x:v>
      </x:c>
      <x:c r="K112" s="18" t="n">
        <x:f>MAX(0,K80-'Assumptions'!$E$199)/1000000*'Assumptions'!$E$200</x:f>
        <x:v>0</x:v>
      </x:c>
      <x:c r="L112" s="18" t="n">
        <x:f>MAX(0,L80-'Assumptions'!$E$199)/1000000*'Assumptions'!$E$200</x:f>
        <x:v>0</x:v>
      </x:c>
      <x:c r="M112" s="18" t="n">
        <x:f>MAX(0,M80-'Assumptions'!$E$199)/1000000*'Assumptions'!$E$200</x:f>
        <x:v>0</x:v>
      </x:c>
      <x:c r="N112" s="18" t="n">
        <x:f>MAX(0,N80-'Assumptions'!$E$199)/1000000*'Assumptions'!$E$200</x:f>
        <x:v>0</x:v>
      </x:c>
      <x:c r="O112" s="18" t="n">
        <x:f>MAX(0,O80-'Assumptions'!$E$199)/1000000*'Assumptions'!$E$200</x:f>
        <x:v>0</x:v>
      </x:c>
      <x:c r="P112" s="18" t="n">
        <x:f>MAX(0,P80-'Assumptions'!$E$199)/1000000*'Assumptions'!$E$200</x:f>
        <x:v>0</x:v>
      </x:c>
      <x:c r="Q112" s="18" t="n">
        <x:f>MAX(0,Q80-'Assumptions'!$E$199)/1000000*'Assumptions'!$E$200</x:f>
        <x:v>0</x:v>
      </x:c>
    </x:row>
    <x:row r="113" ht="21" customHeight="1">
      <x:c r="A113" s="1"/>
      <x:c r="B113" s="1"/>
      <x:c r="C113" s="1" t="str">
        <x:v>SQLite storage</x:v>
      </x:c>
      <x:c r="D113" s="18" t="n">
        <x:f>SUM(F113:Q113)</x:f>
        <x:v>21.4514996224</x:v>
      </x:c>
      <x:c r="E113" s="18"/>
      <x:c r="F113" s="18" t="n">
        <x:f>MAX(0,F81-'Assumptions'!$E$201)*'Assumptions'!$E$202</x:f>
        <x:v>0</x:v>
      </x:c>
      <x:c r="G113" s="18" t="n">
        <x:f>MAX(0,G81-'Assumptions'!$E$201)*'Assumptions'!$E$202</x:f>
        <x:v>0</x:v>
      </x:c>
      <x:c r="H113" s="18" t="n">
        <x:f>MAX(0,H81-'Assumptions'!$E$201)*'Assumptions'!$E$202</x:f>
        <x:v>0.07585054720000013</x:v>
      </x:c>
      <x:c r="I113" s="18" t="n">
        <x:f>MAX(0,I81-'Assumptions'!$E$201)*'Assumptions'!$E$202</x:f>
        <x:v>0.4675381247999999</x:v>
      </x:c>
      <x:c r="J113" s="18" t="n">
        <x:f>MAX(0,J81-'Assumptions'!$E$201)*'Assumptions'!$E$202</x:f>
        <x:v>0.9570997248000002</x:v>
      </x:c>
      <x:c r="K113" s="18" t="n">
        <x:f>MAX(0,K81-'Assumptions'!$E$201)*'Assumptions'!$E$202</x:f>
        <x:v>1.4471456768</x:v>
      </x:c>
      <x:c r="L113" s="18" t="n">
        <x:f>MAX(0,L81-'Assumptions'!$E$201)*'Assumptions'!$E$202</x:f>
        <x:v>1.9374732288</x:v>
      </x:c>
      <x:c r="M113" s="18" t="n">
        <x:f>MAX(0,M81-'Assumptions'!$E$201)*'Assumptions'!$E$202</x:f>
        <x:v>2.428217548800001</x:v>
      </x:c>
      <x:c r="N113" s="18" t="n">
        <x:f>MAX(0,N81-'Assumptions'!$E$201)*'Assumptions'!$E$202</x:f>
        <x:v>2.9192209408000007</x:v>
      </x:c>
      <x:c r="O113" s="18" t="n">
        <x:f>MAX(0,O81-'Assumptions'!$E$201)*'Assumptions'!$E$202</x:f>
        <x:v>3.4106636288</x:v>
      </x:c>
      <x:c r="P113" s="18" t="n">
        <x:f>MAX(0,P81-'Assumptions'!$E$201)*'Assumptions'!$E$202</x:f>
        <x:v>3.9024555008000004</x:v>
      </x:c>
      <x:c r="Q113" s="18" t="n">
        <x:f>MAX(0,Q81-'Assumptions'!$E$201)*'Assumptions'!$E$202</x:f>
        <x:v>3.9058347008000007</x:v>
      </x:c>
    </x:row>
    <x:row r="114" ht="21" customHeight="1">
      <x:c r="A114" s="1"/>
      <x:c r="B114" s="1"/>
      <x:c r="C114" s="1" t="str">
        <x:v>R2 storage</x:v>
      </x:c>
      <x:c r="D114" s="18" t="n">
        <x:f>SUM(F114:Q114)</x:f>
        <x:v>1.7249999999999999</x:v>
      </x:c>
      <x:c r="E114" s="18"/>
      <x:c r="F114" s="18" t="n">
        <x:f>ROUNDUP(MAX(0,F82-'Assumptions'!$E$203),0)*'Assumptions'!$E$204</x:f>
        <x:v>0</x:v>
      </x:c>
      <x:c r="G114" s="18" t="n">
        <x:f>ROUNDUP(MAX(0,G82-'Assumptions'!$E$203),0)*'Assumptions'!$E$204</x:f>
        <x:v>0</x:v>
      </x:c>
      <x:c r="H114" s="18" t="n">
        <x:f>ROUNDUP(MAX(0,H82-'Assumptions'!$E$203),0)*'Assumptions'!$E$204</x:f>
        <x:v>0</x:v>
      </x:c>
      <x:c r="I114" s="18" t="n">
        <x:f>ROUNDUP(MAX(0,I82-'Assumptions'!$E$203),0)*'Assumptions'!$E$204</x:f>
        <x:v>0</x:v>
      </x:c>
      <x:c r="J114" s="18" t="n">
        <x:f>ROUNDUP(MAX(0,J82-'Assumptions'!$E$203),0)*'Assumptions'!$E$204</x:f>
        <x:v>0.045</x:v>
      </x:c>
      <x:c r="K114" s="18" t="n">
        <x:f>ROUNDUP(MAX(0,K82-'Assumptions'!$E$203),0)*'Assumptions'!$E$204</x:f>
        <x:v>0.105</x:v>
      </x:c>
      <x:c r="L114" s="18" t="n">
        <x:f>ROUNDUP(MAX(0,L82-'Assumptions'!$E$203),0)*'Assumptions'!$E$204</x:f>
        <x:v>0.15</x:v>
      </x:c>
      <x:c r="M114" s="18" t="n">
        <x:f>ROUNDUP(MAX(0,M82-'Assumptions'!$E$203),0)*'Assumptions'!$E$204</x:f>
        <x:v>0.195</x:v>
      </x:c>
      <x:c r="N114" s="18" t="n">
        <x:f>ROUNDUP(MAX(0,N82-'Assumptions'!$E$203),0)*'Assumptions'!$E$204</x:f>
        <x:v>0.24</x:v>
      </x:c>
      <x:c r="O114" s="18" t="n">
        <x:f>ROUNDUP(MAX(0,O82-'Assumptions'!$E$203),0)*'Assumptions'!$E$204</x:f>
        <x:v>0.3</x:v>
      </x:c>
      <x:c r="P114" s="18" t="n">
        <x:f>ROUNDUP(MAX(0,P82-'Assumptions'!$E$203),0)*'Assumptions'!$E$204</x:f>
        <x:v>0.345</x:v>
      </x:c>
      <x:c r="Q114" s="18" t="n">
        <x:f>ROUNDUP(MAX(0,Q82-'Assumptions'!$E$203),0)*'Assumptions'!$E$204</x:f>
        <x:v>0.345</x:v>
      </x:c>
    </x:row>
    <x:row r="115" ht="21" customHeight="1">
      <x:c r="A115" s="1"/>
      <x:c r="B115" s="1"/>
      <x:c r="C115" s="1" t="str">
        <x:v>R2 class A</x:v>
      </x:c>
      <x:c r="D115" s="18" t="n">
        <x:f>SUM(F115:Q115)</x:f>
        <x:v>0</x:v>
      </x:c>
      <x:c r="E115" s="18"/>
      <x:c r="F115" s="18" t="n">
        <x:f>ROUNDUP(MAX(0,F83-'Assumptions'!$E$205)/1000000,0)*'Assumptions'!$E$206</x:f>
        <x:v>0</x:v>
      </x:c>
      <x:c r="G115" s="18" t="n">
        <x:f>ROUNDUP(MAX(0,G83-'Assumptions'!$E$205)/1000000,0)*'Assumptions'!$E$206</x:f>
        <x:v>0</x:v>
      </x:c>
      <x:c r="H115" s="18" t="n">
        <x:f>ROUNDUP(MAX(0,H83-'Assumptions'!$E$205)/1000000,0)*'Assumptions'!$E$206</x:f>
        <x:v>0</x:v>
      </x:c>
      <x:c r="I115" s="18" t="n">
        <x:f>ROUNDUP(MAX(0,I83-'Assumptions'!$E$205)/1000000,0)*'Assumptions'!$E$206</x:f>
        <x:v>0</x:v>
      </x:c>
      <x:c r="J115" s="18" t="n">
        <x:f>ROUNDUP(MAX(0,J83-'Assumptions'!$E$205)/1000000,0)*'Assumptions'!$E$206</x:f>
        <x:v>0</x:v>
      </x:c>
      <x:c r="K115" s="18" t="n">
        <x:f>ROUNDUP(MAX(0,K83-'Assumptions'!$E$205)/1000000,0)*'Assumptions'!$E$206</x:f>
        <x:v>0</x:v>
      </x:c>
      <x:c r="L115" s="18" t="n">
        <x:f>ROUNDUP(MAX(0,L83-'Assumptions'!$E$205)/1000000,0)*'Assumptions'!$E$206</x:f>
        <x:v>0</x:v>
      </x:c>
      <x:c r="M115" s="18" t="n">
        <x:f>ROUNDUP(MAX(0,M83-'Assumptions'!$E$205)/1000000,0)*'Assumptions'!$E$206</x:f>
        <x:v>0</x:v>
      </x:c>
      <x:c r="N115" s="18" t="n">
        <x:f>ROUNDUP(MAX(0,N83-'Assumptions'!$E$205)/1000000,0)*'Assumptions'!$E$206</x:f>
        <x:v>0</x:v>
      </x:c>
      <x:c r="O115" s="18" t="n">
        <x:f>ROUNDUP(MAX(0,O83-'Assumptions'!$E$205)/1000000,0)*'Assumptions'!$E$206</x:f>
        <x:v>0</x:v>
      </x:c>
      <x:c r="P115" s="18" t="n">
        <x:f>ROUNDUP(MAX(0,P83-'Assumptions'!$E$205)/1000000,0)*'Assumptions'!$E$206</x:f>
        <x:v>0</x:v>
      </x:c>
      <x:c r="Q115" s="18" t="n">
        <x:f>ROUNDUP(MAX(0,Q83-'Assumptions'!$E$205)/1000000,0)*'Assumptions'!$E$206</x:f>
        <x:v>0</x:v>
      </x:c>
    </x:row>
    <x:row r="116" ht="21" customHeight="1">
      <x:c r="A116" s="1"/>
      <x:c r="B116" s="1"/>
      <x:c r="C116" s="1" t="str">
        <x:v>R2 class B</x:v>
      </x:c>
      <x:c r="D116" s="18" t="n">
        <x:f>SUM(F116:Q116)</x:f>
        <x:v>0</x:v>
      </x:c>
      <x:c r="E116" s="18"/>
      <x:c r="F116" s="18" t="n">
        <x:f>ROUNDUP(MAX(0,F84-'Assumptions'!$E$207)/1000000,0)*'Assumptions'!$E$208</x:f>
        <x:v>0</x:v>
      </x:c>
      <x:c r="G116" s="18" t="n">
        <x:f>ROUNDUP(MAX(0,G84-'Assumptions'!$E$207)/1000000,0)*'Assumptions'!$E$208</x:f>
        <x:v>0</x:v>
      </x:c>
      <x:c r="H116" s="18" t="n">
        <x:f>ROUNDUP(MAX(0,H84-'Assumptions'!$E$207)/1000000,0)*'Assumptions'!$E$208</x:f>
        <x:v>0</x:v>
      </x:c>
      <x:c r="I116" s="18" t="n">
        <x:f>ROUNDUP(MAX(0,I84-'Assumptions'!$E$207)/1000000,0)*'Assumptions'!$E$208</x:f>
        <x:v>0</x:v>
      </x:c>
      <x:c r="J116" s="18" t="n">
        <x:f>ROUNDUP(MAX(0,J84-'Assumptions'!$E$207)/1000000,0)*'Assumptions'!$E$208</x:f>
        <x:v>0</x:v>
      </x:c>
      <x:c r="K116" s="18" t="n">
        <x:f>ROUNDUP(MAX(0,K84-'Assumptions'!$E$207)/1000000,0)*'Assumptions'!$E$208</x:f>
        <x:v>0</x:v>
      </x:c>
      <x:c r="L116" s="18" t="n">
        <x:f>ROUNDUP(MAX(0,L84-'Assumptions'!$E$207)/1000000,0)*'Assumptions'!$E$208</x:f>
        <x:v>0</x:v>
      </x:c>
      <x:c r="M116" s="18" t="n">
        <x:f>ROUNDUP(MAX(0,M84-'Assumptions'!$E$207)/1000000,0)*'Assumptions'!$E$208</x:f>
        <x:v>0</x:v>
      </x:c>
      <x:c r="N116" s="18" t="n">
        <x:f>ROUNDUP(MAX(0,N84-'Assumptions'!$E$207)/1000000,0)*'Assumptions'!$E$208</x:f>
        <x:v>0</x:v>
      </x:c>
      <x:c r="O116" s="18" t="n">
        <x:f>ROUNDUP(MAX(0,O84-'Assumptions'!$E$207)/1000000,0)*'Assumptions'!$E$208</x:f>
        <x:v>0</x:v>
      </x:c>
      <x:c r="P116" s="18" t="n">
        <x:f>ROUNDUP(MAX(0,P84-'Assumptions'!$E$207)/1000000,0)*'Assumptions'!$E$208</x:f>
        <x:v>0</x:v>
      </x:c>
      <x:c r="Q116" s="18" t="n">
        <x:f>ROUNDUP(MAX(0,Q84-'Assumptions'!$E$207)/1000000,0)*'Assumptions'!$E$208</x:f>
        <x:v>0</x:v>
      </x:c>
    </x:row>
    <x:row r="117" ht="21" customHeight="1">
      <x:c r="A117" s="1"/>
      <x:c r="B117" s="1"/>
      <x:c r="C117" s="1" t="str">
        <x:v>D1 reads</x:v>
      </x:c>
      <x:c r="D117" s="18" t="n">
        <x:f>SUM(F117:Q117)</x:f>
        <x:v>0</x:v>
      </x:c>
      <x:c r="E117" s="18"/>
      <x:c r="F117" s="18" t="n">
        <x:f>MAX(0,F85-'Assumptions'!$E$209)/1000000*'Assumptions'!$E$210</x:f>
        <x:v>0</x:v>
      </x:c>
      <x:c r="G117" s="18" t="n">
        <x:f>MAX(0,G85-'Assumptions'!$E$209)/1000000*'Assumptions'!$E$210</x:f>
        <x:v>0</x:v>
      </x:c>
      <x:c r="H117" s="18" t="n">
        <x:f>MAX(0,H85-'Assumptions'!$E$209)/1000000*'Assumptions'!$E$210</x:f>
        <x:v>0</x:v>
      </x:c>
      <x:c r="I117" s="18" t="n">
        <x:f>MAX(0,I85-'Assumptions'!$E$209)/1000000*'Assumptions'!$E$210</x:f>
        <x:v>0</x:v>
      </x:c>
      <x:c r="J117" s="18" t="n">
        <x:f>MAX(0,J85-'Assumptions'!$E$209)/1000000*'Assumptions'!$E$210</x:f>
        <x:v>0</x:v>
      </x:c>
      <x:c r="K117" s="18" t="n">
        <x:f>MAX(0,K85-'Assumptions'!$E$209)/1000000*'Assumptions'!$E$210</x:f>
        <x:v>0</x:v>
      </x:c>
      <x:c r="L117" s="18" t="n">
        <x:f>MAX(0,L85-'Assumptions'!$E$209)/1000000*'Assumptions'!$E$210</x:f>
        <x:v>0</x:v>
      </x:c>
      <x:c r="M117" s="18" t="n">
        <x:f>MAX(0,M85-'Assumptions'!$E$209)/1000000*'Assumptions'!$E$210</x:f>
        <x:v>0</x:v>
      </x:c>
      <x:c r="N117" s="18" t="n">
        <x:f>MAX(0,N85-'Assumptions'!$E$209)/1000000*'Assumptions'!$E$210</x:f>
        <x:v>0</x:v>
      </x:c>
      <x:c r="O117" s="18" t="n">
        <x:f>MAX(0,O85-'Assumptions'!$E$209)/1000000*'Assumptions'!$E$210</x:f>
        <x:v>0</x:v>
      </x:c>
      <x:c r="P117" s="18" t="n">
        <x:f>MAX(0,P85-'Assumptions'!$E$209)/1000000*'Assumptions'!$E$210</x:f>
        <x:v>0</x:v>
      </x:c>
      <x:c r="Q117" s="18" t="n">
        <x:f>MAX(0,Q85-'Assumptions'!$E$209)/1000000*'Assumptions'!$E$210</x:f>
        <x:v>0</x:v>
      </x:c>
    </x:row>
    <x:row r="118" ht="21" customHeight="1">
      <x:c r="A118" s="1"/>
      <x:c r="B118" s="1"/>
      <x:c r="C118" s="1" t="str">
        <x:v>D1 writes</x:v>
      </x:c>
      <x:c r="D118" s="18" t="n">
        <x:f>SUM(F118:Q118)</x:f>
        <x:v>0</x:v>
      </x:c>
      <x:c r="E118" s="18"/>
      <x:c r="F118" s="18" t="n">
        <x:f>MAX(0,F86-'Assumptions'!$E$211)/1000000*'Assumptions'!$E$212</x:f>
        <x:v>0</x:v>
      </x:c>
      <x:c r="G118" s="18" t="n">
        <x:f>MAX(0,G86-'Assumptions'!$E$211)/1000000*'Assumptions'!$E$212</x:f>
        <x:v>0</x:v>
      </x:c>
      <x:c r="H118" s="18" t="n">
        <x:f>MAX(0,H86-'Assumptions'!$E$211)/1000000*'Assumptions'!$E$212</x:f>
        <x:v>0</x:v>
      </x:c>
      <x:c r="I118" s="18" t="n">
        <x:f>MAX(0,I86-'Assumptions'!$E$211)/1000000*'Assumptions'!$E$212</x:f>
        <x:v>0</x:v>
      </x:c>
      <x:c r="J118" s="18" t="n">
        <x:f>MAX(0,J86-'Assumptions'!$E$211)/1000000*'Assumptions'!$E$212</x:f>
        <x:v>0</x:v>
      </x:c>
      <x:c r="K118" s="18" t="n">
        <x:f>MAX(0,K86-'Assumptions'!$E$211)/1000000*'Assumptions'!$E$212</x:f>
        <x:v>0</x:v>
      </x:c>
      <x:c r="L118" s="18" t="n">
        <x:f>MAX(0,L86-'Assumptions'!$E$211)/1000000*'Assumptions'!$E$212</x:f>
        <x:v>0</x:v>
      </x:c>
      <x:c r="M118" s="18" t="n">
        <x:f>MAX(0,M86-'Assumptions'!$E$211)/1000000*'Assumptions'!$E$212</x:f>
        <x:v>0</x:v>
      </x:c>
      <x:c r="N118" s="18" t="n">
        <x:f>MAX(0,N86-'Assumptions'!$E$211)/1000000*'Assumptions'!$E$212</x:f>
        <x:v>0</x:v>
      </x:c>
      <x:c r="O118" s="18" t="n">
        <x:f>MAX(0,O86-'Assumptions'!$E$211)/1000000*'Assumptions'!$E$212</x:f>
        <x:v>0</x:v>
      </x:c>
      <x:c r="P118" s="18" t="n">
        <x:f>MAX(0,P86-'Assumptions'!$E$211)/1000000*'Assumptions'!$E$212</x:f>
        <x:v>0</x:v>
      </x:c>
      <x:c r="Q118" s="18" t="n">
        <x:f>MAX(0,Q86-'Assumptions'!$E$211)/1000000*'Assumptions'!$E$212</x:f>
        <x:v>0</x:v>
      </x:c>
    </x:row>
    <x:row r="119" ht="21" customHeight="1">
      <x:c r="A119" s="1"/>
      <x:c r="B119" s="1"/>
      <x:c r="C119" s="1" t="str">
        <x:v>D1 storage</x:v>
      </x:c>
      <x:c r="D119" s="18" t="n">
        <x:f>SUM(F119:Q119)</x:f>
        <x:v>0</x:v>
      </x:c>
      <x:c r="E119" s="18"/>
      <x:c r="F119" s="18" t="n">
        <x:f>MAX(0,F87-'Assumptions'!$E$213)*'Assumptions'!$E$214</x:f>
        <x:v>0</x:v>
      </x:c>
      <x:c r="G119" s="18" t="n">
        <x:f>MAX(0,G87-'Assumptions'!$E$213)*'Assumptions'!$E$214</x:f>
        <x:v>0</x:v>
      </x:c>
      <x:c r="H119" s="18" t="n">
        <x:f>MAX(0,H87-'Assumptions'!$E$213)*'Assumptions'!$E$214</x:f>
        <x:v>0</x:v>
      </x:c>
      <x:c r="I119" s="18" t="n">
        <x:f>MAX(0,I87-'Assumptions'!$E$213)*'Assumptions'!$E$214</x:f>
        <x:v>0</x:v>
      </x:c>
      <x:c r="J119" s="18" t="n">
        <x:f>MAX(0,J87-'Assumptions'!$E$213)*'Assumptions'!$E$214</x:f>
        <x:v>0</x:v>
      </x:c>
      <x:c r="K119" s="18" t="n">
        <x:f>MAX(0,K87-'Assumptions'!$E$213)*'Assumptions'!$E$214</x:f>
        <x:v>0</x:v>
      </x:c>
      <x:c r="L119" s="18" t="n">
        <x:f>MAX(0,L87-'Assumptions'!$E$213)*'Assumptions'!$E$214</x:f>
        <x:v>0</x:v>
      </x:c>
      <x:c r="M119" s="18" t="n">
        <x:f>MAX(0,M87-'Assumptions'!$E$213)*'Assumptions'!$E$214</x:f>
        <x:v>0</x:v>
      </x:c>
      <x:c r="N119" s="18" t="n">
        <x:f>MAX(0,N87-'Assumptions'!$E$213)*'Assumptions'!$E$214</x:f>
        <x:v>0</x:v>
      </x:c>
      <x:c r="O119" s="18" t="n">
        <x:f>MAX(0,O87-'Assumptions'!$E$213)*'Assumptions'!$E$214</x:f>
        <x:v>0</x:v>
      </x:c>
      <x:c r="P119" s="18" t="n">
        <x:f>MAX(0,P87-'Assumptions'!$E$213)*'Assumptions'!$E$214</x:f>
        <x:v>0</x:v>
      </x:c>
      <x:c r="Q119" s="18" t="n">
        <x:f>MAX(0,Q87-'Assumptions'!$E$213)*'Assumptions'!$E$214</x:f>
        <x:v>0</x:v>
      </x:c>
    </x:row>
    <x:row r="120" ht="21" customHeight="1">
      <x:c r="A120" s="1"/>
      <x:c r="B120" s="1"/>
      <x:c r="C120" s="1" t="str">
        <x:v>Logging</x:v>
      </x:c>
      <x:c r="D120" s="18" t="n">
        <x:f>SUM(F120:Q120)</x:f>
        <x:v>0</x:v>
      </x:c>
      <x:c r="E120" s="18"/>
      <x:c r="F120" s="18" t="n">
        <x:f>IF(F$6&lt;DATE(2026,12,1),MAX(0,F88-'Assumptions'!$E$215)/1000000*'Assumptions'!$E$216,MAX(0,F89-'Assumptions'!$E$217)*'Assumptions'!$E$218+MAX(0,F90-'Assumptions'!$E$219)*'Assumptions'!$E$220)</x:f>
        <x:v>0</x:v>
      </x:c>
      <x:c r="G120" s="18" t="n">
        <x:f>IF(G$6&lt;DATE(2026,12,1),MAX(0,G88-'Assumptions'!$E$215)/1000000*'Assumptions'!$E$216,MAX(0,G89-'Assumptions'!$E$217)*'Assumptions'!$E$218+MAX(0,G90-'Assumptions'!$E$219)*'Assumptions'!$E$220)</x:f>
        <x:v>0</x:v>
      </x:c>
      <x:c r="H120" s="18" t="n">
        <x:f>IF(H$6&lt;DATE(2026,12,1),MAX(0,H88-'Assumptions'!$E$215)/1000000*'Assumptions'!$E$216,MAX(0,H89-'Assumptions'!$E$217)*'Assumptions'!$E$218+MAX(0,H90-'Assumptions'!$E$219)*'Assumptions'!$E$220)</x:f>
        <x:v>0</x:v>
      </x:c>
      <x:c r="I120" s="18" t="n">
        <x:f>IF(I$6&lt;DATE(2026,12,1),MAX(0,I88-'Assumptions'!$E$215)/1000000*'Assumptions'!$E$216,MAX(0,I89-'Assumptions'!$E$217)*'Assumptions'!$E$218+MAX(0,I90-'Assumptions'!$E$219)*'Assumptions'!$E$220)</x:f>
        <x:v>0</x:v>
      </x:c>
      <x:c r="J120" s="18" t="n">
        <x:f>IF(J$6&lt;DATE(2026,12,1),MAX(0,J88-'Assumptions'!$E$215)/1000000*'Assumptions'!$E$216,MAX(0,J89-'Assumptions'!$E$217)*'Assumptions'!$E$218+MAX(0,J90-'Assumptions'!$E$219)*'Assumptions'!$E$220)</x:f>
        <x:v>0</x:v>
      </x:c>
      <x:c r="K120" s="18" t="n">
        <x:f>IF(K$6&lt;DATE(2026,12,1),MAX(0,K88-'Assumptions'!$E$215)/1000000*'Assumptions'!$E$216,MAX(0,K89-'Assumptions'!$E$217)*'Assumptions'!$E$218+MAX(0,K90-'Assumptions'!$E$219)*'Assumptions'!$E$220)</x:f>
        <x:v>0</x:v>
      </x:c>
      <x:c r="L120" s="18" t="n">
        <x:f>IF(L$6&lt;DATE(2026,12,1),MAX(0,L88-'Assumptions'!$E$215)/1000000*'Assumptions'!$E$216,MAX(0,L89-'Assumptions'!$E$217)*'Assumptions'!$E$218+MAX(0,L90-'Assumptions'!$E$219)*'Assumptions'!$E$220)</x:f>
        <x:v>0</x:v>
      </x:c>
      <x:c r="M120" s="18" t="n">
        <x:f>IF(M$6&lt;DATE(2026,12,1),MAX(0,M88-'Assumptions'!$E$215)/1000000*'Assumptions'!$E$216,MAX(0,M89-'Assumptions'!$E$217)*'Assumptions'!$E$218+MAX(0,M90-'Assumptions'!$E$219)*'Assumptions'!$E$220)</x:f>
        <x:v>0</x:v>
      </x:c>
      <x:c r="N120" s="18" t="n">
        <x:f>IF(N$6&lt;DATE(2026,12,1),MAX(0,N88-'Assumptions'!$E$215)/1000000*'Assumptions'!$E$216,MAX(0,N89-'Assumptions'!$E$217)*'Assumptions'!$E$218+MAX(0,N90-'Assumptions'!$E$219)*'Assumptions'!$E$220)</x:f>
        <x:v>0</x:v>
      </x:c>
      <x:c r="O120" s="18" t="n">
        <x:f>IF(O$6&lt;DATE(2026,12,1),MAX(0,O88-'Assumptions'!$E$215)/1000000*'Assumptions'!$E$216,MAX(0,O89-'Assumptions'!$E$217)*'Assumptions'!$E$218+MAX(0,O90-'Assumptions'!$E$219)*'Assumptions'!$E$220)</x:f>
        <x:v>0</x:v>
      </x:c>
      <x:c r="P120" s="18" t="n">
        <x:f>IF(P$6&lt;DATE(2026,12,1),MAX(0,P88-'Assumptions'!$E$215)/1000000*'Assumptions'!$E$216,MAX(0,P89-'Assumptions'!$E$217)*'Assumptions'!$E$218+MAX(0,P90-'Assumptions'!$E$219)*'Assumptions'!$E$220)</x:f>
        <x:v>0</x:v>
      </x:c>
      <x:c r="Q120" s="18" t="n">
        <x:f>IF(Q$6&lt;DATE(2026,12,1),MAX(0,Q88-'Assumptions'!$E$215)/1000000*'Assumptions'!$E$216,MAX(0,Q89-'Assumptions'!$E$217)*'Assumptions'!$E$218+MAX(0,Q90-'Assumptions'!$E$219)*'Assumptions'!$E$220)</x:f>
        <x:v>0</x:v>
      </x:c>
    </x:row>
    <x:row r="121" ht="21" customHeight="1">
      <x:c r="A121" s="1"/>
      <x:c r="B121" s="1"/>
      <x:c r="C121" s="1" t="str">
        <x:v>Container CPU</x:v>
      </x:c>
      <x:c r="D121" s="18" t="n">
        <x:f>SUM(F121:Q121)</x:f>
        <x:v>0</x:v>
      </x:c>
      <x:c r="E121" s="18"/>
      <x:c r="F121" s="18" t="n">
        <x:f>MAX(0,0-'Assumptions'!$E$221)*'Assumptions'!$E$222</x:f>
        <x:v>0</x:v>
      </x:c>
      <x:c r="G121" s="18" t="n">
        <x:f>MAX(0,0-'Assumptions'!$E$221)*'Assumptions'!$E$222</x:f>
        <x:v>0</x:v>
      </x:c>
      <x:c r="H121" s="18" t="n">
        <x:f>MAX(0,0-'Assumptions'!$E$221)*'Assumptions'!$E$222</x:f>
        <x:v>0</x:v>
      </x:c>
      <x:c r="I121" s="18" t="n">
        <x:f>MAX(0,0-'Assumptions'!$E$221)*'Assumptions'!$E$222</x:f>
        <x:v>0</x:v>
      </x:c>
      <x:c r="J121" s="18" t="n">
        <x:f>MAX(0,0-'Assumptions'!$E$221)*'Assumptions'!$E$222</x:f>
        <x:v>0</x:v>
      </x:c>
      <x:c r="K121" s="18" t="n">
        <x:f>MAX(0,0-'Assumptions'!$E$221)*'Assumptions'!$E$222</x:f>
        <x:v>0</x:v>
      </x:c>
      <x:c r="L121" s="18" t="n">
        <x:f>MAX(0,0-'Assumptions'!$E$221)*'Assumptions'!$E$222</x:f>
        <x:v>0</x:v>
      </x:c>
      <x:c r="M121" s="18" t="n">
        <x:f>MAX(0,0-'Assumptions'!$E$221)*'Assumptions'!$E$222</x:f>
        <x:v>0</x:v>
      </x:c>
      <x:c r="N121" s="18" t="n">
        <x:f>MAX(0,0-'Assumptions'!$E$221)*'Assumptions'!$E$222</x:f>
        <x:v>0</x:v>
      </x:c>
      <x:c r="O121" s="18" t="n">
        <x:f>MAX(0,0-'Assumptions'!$E$221)*'Assumptions'!$E$222</x:f>
        <x:v>0</x:v>
      </x:c>
      <x:c r="P121" s="18" t="n">
        <x:f>MAX(0,0-'Assumptions'!$E$221)*'Assumptions'!$E$222</x:f>
        <x:v>0</x:v>
      </x:c>
      <x:c r="Q121" s="18" t="n">
        <x:f>MAX(0,0-'Assumptions'!$E$221)*'Assumptions'!$E$222</x:f>
        <x:v>0</x:v>
      </x:c>
    </x:row>
    <x:row r="122" ht="21" customHeight="1">
      <x:c r="A122" s="1"/>
      <x:c r="B122" s="1"/>
      <x:c r="C122" s="1" t="str">
        <x:v>Container memory</x:v>
      </x:c>
      <x:c r="D122" s="18" t="n">
        <x:f>SUM(F122:Q122)</x:f>
        <x:v>0</x:v>
      </x:c>
      <x:c r="E122" s="18"/>
      <x:c r="F122" s="18" t="n">
        <x:f>MAX(0,0-'Assumptions'!$E$223)*'Assumptions'!$E$224</x:f>
        <x:v>0</x:v>
      </x:c>
      <x:c r="G122" s="18" t="n">
        <x:f>MAX(0,0-'Assumptions'!$E$223)*'Assumptions'!$E$224</x:f>
        <x:v>0</x:v>
      </x:c>
      <x:c r="H122" s="18" t="n">
        <x:f>MAX(0,0-'Assumptions'!$E$223)*'Assumptions'!$E$224</x:f>
        <x:v>0</x:v>
      </x:c>
      <x:c r="I122" s="18" t="n">
        <x:f>MAX(0,0-'Assumptions'!$E$223)*'Assumptions'!$E$224</x:f>
        <x:v>0</x:v>
      </x:c>
      <x:c r="J122" s="18" t="n">
        <x:f>MAX(0,0-'Assumptions'!$E$223)*'Assumptions'!$E$224</x:f>
        <x:v>0</x:v>
      </x:c>
      <x:c r="K122" s="18" t="n">
        <x:f>MAX(0,0-'Assumptions'!$E$223)*'Assumptions'!$E$224</x:f>
        <x:v>0</x:v>
      </x:c>
      <x:c r="L122" s="18" t="n">
        <x:f>MAX(0,0-'Assumptions'!$E$223)*'Assumptions'!$E$224</x:f>
        <x:v>0</x:v>
      </x:c>
      <x:c r="M122" s="18" t="n">
        <x:f>MAX(0,0-'Assumptions'!$E$223)*'Assumptions'!$E$224</x:f>
        <x:v>0</x:v>
      </x:c>
      <x:c r="N122" s="18" t="n">
        <x:f>MAX(0,0-'Assumptions'!$E$223)*'Assumptions'!$E$224</x:f>
        <x:v>0</x:v>
      </x:c>
      <x:c r="O122" s="18" t="n">
        <x:f>MAX(0,0-'Assumptions'!$E$223)*'Assumptions'!$E$224</x:f>
        <x:v>0</x:v>
      </x:c>
      <x:c r="P122" s="18" t="n">
        <x:f>MAX(0,0-'Assumptions'!$E$223)*'Assumptions'!$E$224</x:f>
        <x:v>0</x:v>
      </x:c>
      <x:c r="Q122" s="18" t="n">
        <x:f>MAX(0,0-'Assumptions'!$E$223)*'Assumptions'!$E$224</x:f>
        <x:v>0</x:v>
      </x:c>
    </x:row>
    <x:row r="123" ht="21" customHeight="1">
      <x:c r="A123" s="1"/>
      <x:c r="B123" s="1"/>
      <x:c r="C123" s="1" t="str">
        <x:v>Container disk</x:v>
      </x:c>
      <x:c r="D123" s="18" t="n">
        <x:f>SUM(F123:Q123)</x:f>
        <x:v>0</x:v>
      </x:c>
      <x:c r="E123" s="18"/>
      <x:c r="F123" s="18" t="n">
        <x:f>MAX(0,0-'Assumptions'!$E$225)*'Assumptions'!$E$226</x:f>
        <x:v>0</x:v>
      </x:c>
      <x:c r="G123" s="18" t="n">
        <x:f>MAX(0,0-'Assumptions'!$E$225)*'Assumptions'!$E$226</x:f>
        <x:v>0</x:v>
      </x:c>
      <x:c r="H123" s="18" t="n">
        <x:f>MAX(0,0-'Assumptions'!$E$225)*'Assumptions'!$E$226</x:f>
        <x:v>0</x:v>
      </x:c>
      <x:c r="I123" s="18" t="n">
        <x:f>MAX(0,0-'Assumptions'!$E$225)*'Assumptions'!$E$226</x:f>
        <x:v>0</x:v>
      </x:c>
      <x:c r="J123" s="18" t="n">
        <x:f>MAX(0,0-'Assumptions'!$E$225)*'Assumptions'!$E$226</x:f>
        <x:v>0</x:v>
      </x:c>
      <x:c r="K123" s="18" t="n">
        <x:f>MAX(0,0-'Assumptions'!$E$225)*'Assumptions'!$E$226</x:f>
        <x:v>0</x:v>
      </x:c>
      <x:c r="L123" s="18" t="n">
        <x:f>MAX(0,0-'Assumptions'!$E$225)*'Assumptions'!$E$226</x:f>
        <x:v>0</x:v>
      </x:c>
      <x:c r="M123" s="18" t="n">
        <x:f>MAX(0,0-'Assumptions'!$E$225)*'Assumptions'!$E$226</x:f>
        <x:v>0</x:v>
      </x:c>
      <x:c r="N123" s="18" t="n">
        <x:f>MAX(0,0-'Assumptions'!$E$225)*'Assumptions'!$E$226</x:f>
        <x:v>0</x:v>
      </x:c>
      <x:c r="O123" s="18" t="n">
        <x:f>MAX(0,0-'Assumptions'!$E$225)*'Assumptions'!$E$226</x:f>
        <x:v>0</x:v>
      </x:c>
      <x:c r="P123" s="18" t="n">
        <x:f>MAX(0,0-'Assumptions'!$E$225)*'Assumptions'!$E$226</x:f>
        <x:v>0</x:v>
      </x:c>
      <x:c r="Q123" s="18" t="n">
        <x:f>MAX(0,0-'Assumptions'!$E$225)*'Assumptions'!$E$226</x:f>
        <x:v>0</x:v>
      </x:c>
    </x:row>
    <x:row r="124" ht="21" customHeight="1">
      <x:c r="A124" s="1"/>
      <x:c r="B124" s="1"/>
      <x:c r="C124" s="1" t="str">
        <x:v>Container egress</x:v>
      </x:c>
      <x:c r="D124" s="18" t="n">
        <x:f>SUM(F124:Q124)</x:f>
        <x:v>0</x:v>
      </x:c>
      <x:c r="E124" s="18"/>
      <x:c r="F124" s="18" t="n">
        <x:f>MAX(0,0-'Assumptions'!$E$227)*'Assumptions'!$E$228</x:f>
        <x:v>0</x:v>
      </x:c>
      <x:c r="G124" s="18" t="n">
        <x:f>MAX(0,0-'Assumptions'!$E$227)*'Assumptions'!$E$228</x:f>
        <x:v>0</x:v>
      </x:c>
      <x:c r="H124" s="18" t="n">
        <x:f>MAX(0,0-'Assumptions'!$E$227)*'Assumptions'!$E$228</x:f>
        <x:v>0</x:v>
      </x:c>
      <x:c r="I124" s="18" t="n">
        <x:f>MAX(0,0-'Assumptions'!$E$227)*'Assumptions'!$E$228</x:f>
        <x:v>0</x:v>
      </x:c>
      <x:c r="J124" s="18" t="n">
        <x:f>MAX(0,0-'Assumptions'!$E$227)*'Assumptions'!$E$228</x:f>
        <x:v>0</x:v>
      </x:c>
      <x:c r="K124" s="18" t="n">
        <x:f>MAX(0,0-'Assumptions'!$E$227)*'Assumptions'!$E$228</x:f>
        <x:v>0</x:v>
      </x:c>
      <x:c r="L124" s="18" t="n">
        <x:f>MAX(0,0-'Assumptions'!$E$227)*'Assumptions'!$E$228</x:f>
        <x:v>0</x:v>
      </x:c>
      <x:c r="M124" s="18" t="n">
        <x:f>MAX(0,0-'Assumptions'!$E$227)*'Assumptions'!$E$228</x:f>
        <x:v>0</x:v>
      </x:c>
      <x:c r="N124" s="18" t="n">
        <x:f>MAX(0,0-'Assumptions'!$E$227)*'Assumptions'!$E$228</x:f>
        <x:v>0</x:v>
      </x:c>
      <x:c r="O124" s="18" t="n">
        <x:f>MAX(0,0-'Assumptions'!$E$227)*'Assumptions'!$E$228</x:f>
        <x:v>0</x:v>
      </x:c>
      <x:c r="P124" s="18" t="n">
        <x:f>MAX(0,0-'Assumptions'!$E$227)*'Assumptions'!$E$228</x:f>
        <x:v>0</x:v>
      </x:c>
      <x:c r="Q124" s="18" t="n">
        <x:f>MAX(0,0-'Assumptions'!$E$227)*'Assumptions'!$E$228</x:f>
        <x:v>0</x:v>
      </x:c>
    </x:row>
    <x:row r="125" ht="21" customHeight="1">
      <x:c r="A125" s="1"/>
      <x:c r="B125" s="1"/>
      <x:c r="C125" s="1" t="str">
        <x:v>Free service Cloudflare total (USD)</x:v>
      </x:c>
      <x:c r="D125" s="18" t="n">
        <x:f>SUM(F125:Q125)</x:f>
        <x:v>195.43851538</x:v>
      </x:c>
      <x:c r="E125" s="18"/>
      <x:c r="F125" s="18" t="n">
        <x:f>SUM(F106:F124)+'Assumptions'!$E$124</x:f>
        <x:v>6.05</x:v>
      </x:c>
      <x:c r="G125" s="18" t="n">
        <x:f>SUM(G106:G124)+'Assumptions'!$E$124</x:f>
        <x:v>6.8</x:v>
      </x:c>
      <x:c r="H125" s="18" t="n">
        <x:f>SUM(H106:H124)+'Assumptions'!$E$124</x:f>
        <x:v>7.9258505472</x:v>
      </x:c>
      <x:c r="I125" s="18" t="n">
        <x:f>SUM(I106:I124)+'Assumptions'!$E$124</x:f>
        <x:v>9.491137124000002</x:v>
      </x:c>
      <x:c r="J125" s="18" t="n">
        <x:f>SUM(J106:J124)+'Assumptions'!$E$124</x:f>
        <x:v>10.9235307776</x:v>
      </x:c>
      <x:c r="K125" s="18" t="n">
        <x:f>SUM(K106:K124)+'Assumptions'!$E$124</x:f>
        <x:v>14.226139004800002</x:v>
      </x:c>
      <x:c r="L125" s="18" t="n">
        <x:f>SUM(L106:L124)+'Assumptions'!$E$124</x:f>
        <x:v>16.5895299968</x:v>
      </x:c>
      <x:c r="M125" s="18" t="n">
        <x:f>SUM(M106:M124)+'Assumptions'!$E$124</x:f>
        <x:v>19.926808208000004</x:v>
      </x:c>
      <x:c r="N125" s="18" t="n">
        <x:f>SUM(N106:N124)+'Assumptions'!$E$124</x:f>
        <x:v>22.078629964799998</x:v>
      </x:c>
      <x:c r="O125" s="18" t="n">
        <x:f>SUM(O106:O124)+'Assumptions'!$E$124</x:f>
        <x:v>25.493851619200004</x:v>
      </x:c>
      <x:c r="P125" s="18" t="n">
        <x:f>SUM(P106:P124)+'Assumptions'!$E$124</x:f>
        <x:v>28.345442156799997</x:v>
      </x:c>
      <x:c r="Q125" s="18" t="n">
        <x:f>SUM(Q106:Q124)+'Assumptions'!$E$124</x:f>
        <x:v>27.587595980799996</x:v>
      </x:c>
    </x:row>
    <x:row r="126" ht="24" customHeight="1">
      <x:c r="A126" s="1"/>
      <x:c r="B126" s="1"/>
      <x:c r="C126" s="17" t="str">
        <x:v>Combined free service and future Agents (USD)</x:v>
      </x:c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</x:row>
    <x:row r="127" ht="21" customHeight="1">
      <x:c r="A127" s="1"/>
      <x:c r="B127" s="1"/>
      <x:c r="C127" s="1" t="str">
        <x:v>Workers shared monthly minimum</x:v>
      </x:c>
      <x:c r="D127" s="18" t="n">
        <x:f>SUM(F127:Q127)</x:f>
        <x:v>60</x:v>
      </x:c>
      <x:c r="E127" s="18"/>
      <x:c r="F127" s="18" t="n">
        <x:f>'Assumptions'!$E$188</x:f>
        <x:v>5</x:v>
      </x:c>
      <x:c r="G127" s="18" t="n">
        <x:f>'Assumptions'!$E$188</x:f>
        <x:v>5</x:v>
      </x:c>
      <x:c r="H127" s="18" t="n">
        <x:f>'Assumptions'!$E$188</x:f>
        <x:v>5</x:v>
      </x:c>
      <x:c r="I127" s="18" t="n">
        <x:f>'Assumptions'!$E$188</x:f>
        <x:v>5</x:v>
      </x:c>
      <x:c r="J127" s="18" t="n">
        <x:f>'Assumptions'!$E$188</x:f>
        <x:v>5</x:v>
      </x:c>
      <x:c r="K127" s="18" t="n">
        <x:f>'Assumptions'!$E$188</x:f>
        <x:v>5</x:v>
      </x:c>
      <x:c r="L127" s="18" t="n">
        <x:f>'Assumptions'!$E$188</x:f>
        <x:v>5</x:v>
      </x:c>
      <x:c r="M127" s="18" t="n">
        <x:f>'Assumptions'!$E$188</x:f>
        <x:v>5</x:v>
      </x:c>
      <x:c r="N127" s="18" t="n">
        <x:f>'Assumptions'!$E$188</x:f>
        <x:v>5</x:v>
      </x:c>
      <x:c r="O127" s="18" t="n">
        <x:f>'Assumptions'!$E$188</x:f>
        <x:v>5</x:v>
      </x:c>
      <x:c r="P127" s="18" t="n">
        <x:f>'Assumptions'!$E$188</x:f>
        <x:v>5</x:v>
      </x:c>
      <x:c r="Q127" s="18" t="n">
        <x:f>'Assumptions'!$E$188</x:f>
        <x:v>5</x:v>
      </x:c>
    </x:row>
    <x:row r="128" ht="21" customHeight="1">
      <x:c r="A128" s="1"/>
      <x:c r="B128" s="1"/>
      <x:c r="C128" s="1" t="str">
        <x:v>Worker requests</x:v>
      </x:c>
      <x:c r="D128" s="18" t="n">
        <x:f>SUM(F128:Q128)</x:f>
        <x:v>18.237739279200003</x:v>
      </x:c>
      <x:c r="E128" s="18"/>
      <x:c r="F128" s="18" t="n">
        <x:f>MAX(0,(F75+F92)-'Assumptions'!$E$189)/1000000*'Assumptions'!$E$190</x:f>
        <x:v>0</x:v>
      </x:c>
      <x:c r="G128" s="18" t="n">
        <x:f>MAX(0,(G75+G92)-'Assumptions'!$E$189)/1000000*'Assumptions'!$E$190</x:f>
        <x:v>0</x:v>
      </x:c>
      <x:c r="H128" s="18" t="n">
        <x:f>MAX(0,(H75+H92)-'Assumptions'!$E$189)/1000000*'Assumptions'!$E$190</x:f>
        <x:v>0</x:v>
      </x:c>
      <x:c r="I128" s="18" t="n">
        <x:f>MAX(0,(I75+I92)-'Assumptions'!$E$189)/1000000*'Assumptions'!$E$190</x:f>
        <x:v>0</x:v>
      </x:c>
      <x:c r="J128" s="18" t="n">
        <x:f>MAX(0,(J75+J92)-'Assumptions'!$E$189)/1000000*'Assumptions'!$E$190</x:f>
        <x:v>0</x:v>
      </x:c>
      <x:c r="K128" s="18" t="n">
        <x:f>MAX(0,(K75+K92)-'Assumptions'!$E$189)/1000000*'Assumptions'!$E$190</x:f>
        <x:v>0.6179949960000005</x:v>
      </x:c>
      <x:c r="L128" s="18" t="n">
        <x:f>MAX(0,(L75+L92)-'Assumptions'!$E$189)/1000000*'Assumptions'!$E$190</x:f>
        <x:v>1.2015425760000005</x:v>
      </x:c>
      <x:c r="M128" s="18" t="n">
        <x:f>MAX(0,(M75+M92)-'Assumptions'!$E$189)/1000000*'Assumptions'!$E$190</x:f>
        <x:v>2.0651929944000003</x:v>
      </x:c>
      <x:c r="N128" s="18" t="n">
        <x:f>MAX(0,(N75+N92)-'Assumptions'!$E$189)/1000000*'Assumptions'!$E$190</x:f>
        <x:v>2.6020567680000006</x:v>
      </x:c>
      <x:c r="O128" s="18" t="n">
        <x:f>MAX(0,(O75+O92)-'Assumptions'!$E$189)/1000000*'Assumptions'!$E$190</x:f>
        <x:v>3.5123909928000008</x:v>
      </x:c>
      <x:c r="P128" s="18" t="n">
        <x:f>MAX(0,(P75+P92)-'Assumptions'!$E$189)/1000000*'Assumptions'!$E$190</x:f>
        <x:v>4.235989992000001</x:v>
      </x:c>
      <x:c r="Q128" s="18" t="n">
        <x:f>MAX(0,(Q75+Q92)-'Assumptions'!$E$189)/1000000*'Assumptions'!$E$190</x:f>
        <x:v>4.002570960000001</x:v>
      </x:c>
    </x:row>
    <x:row r="129" ht="21" customHeight="1">
      <x:c r="A129" s="1"/>
      <x:c r="B129" s="1"/>
      <x:c r="C129" s="1" t="str">
        <x:v>Worker CPU</x:v>
      </x:c>
      <x:c r="D129" s="18" t="n">
        <x:f>SUM(F129:Q129)</x:f>
        <x:v>9.274276478400003</x:v>
      </x:c>
      <x:c r="E129" s="18"/>
      <x:c r="F129" s="18" t="n">
        <x:f>MAX(0,(F76+F93)-'Assumptions'!$E$191)/1000000*'Assumptions'!$E$192</x:f>
        <x:v>0</x:v>
      </x:c>
      <x:c r="G129" s="18" t="n">
        <x:f>MAX(0,(G76+G93)-'Assumptions'!$E$191)/1000000*'Assumptions'!$E$192</x:f>
        <x:v>0</x:v>
      </x:c>
      <x:c r="H129" s="18" t="n">
        <x:f>MAX(0,(H76+H93)-'Assumptions'!$E$191)/1000000*'Assumptions'!$E$192</x:f>
        <x:v>0</x:v>
      </x:c>
      <x:c r="I129" s="18" t="n">
        <x:f>MAX(0,(I76+I93)-'Assumptions'!$E$191)/1000000*'Assumptions'!$E$192</x:f>
        <x:v>0.12359899920000017</x:v>
      </x:c>
      <x:c r="J129" s="18" t="n">
        <x:f>MAX(0,(J76+J93)-'Assumptions'!$E$191)/1000000*'Assumptions'!$E$192</x:f>
        <x:v>0.2714310528</x:v>
      </x:c>
      <x:c r="K129" s="18" t="n">
        <x:f>MAX(0,(K76+K93)-'Assumptions'!$E$191)/1000000*'Assumptions'!$E$192</x:f>
        <x:v>0.6059983320000002</x:v>
      </x:c>
      <x:c r="L129" s="18" t="n">
        <x:f>MAX(0,(L76+L93)-'Assumptions'!$E$191)/1000000*'Assumptions'!$E$192</x:f>
        <x:v>0.8005141920000002</x:v>
      </x:c>
      <x:c r="M129" s="18" t="n">
        <x:f>MAX(0,(M76+M93)-'Assumptions'!$E$191)/1000000*'Assumptions'!$E$192</x:f>
        <x:v>1.0883976648000002</x:v>
      </x:c>
      <x:c r="N129" s="18" t="n">
        <x:f>MAX(0,(N76+N93)-'Assumptions'!$E$191)/1000000*'Assumptions'!$E$192</x:f>
        <x:v>1.2673522560000003</x:v>
      </x:c>
      <x:c r="O129" s="18" t="n">
        <x:f>MAX(0,(O76+O93)-'Assumptions'!$E$191)/1000000*'Assumptions'!$E$192</x:f>
        <x:v>1.5707969976000005</x:v>
      </x:c>
      <x:c r="P129" s="18" t="n">
        <x:f>MAX(0,(P76+P93)-'Assumptions'!$E$191)/1000000*'Assumptions'!$E$192</x:f>
        <x:v>1.8119966640000005</x:v>
      </x:c>
      <x:c r="Q129" s="18" t="n">
        <x:f>MAX(0,(Q76+Q93)-'Assumptions'!$E$191)/1000000*'Assumptions'!$E$192</x:f>
        <x:v>1.7341903200000002</x:v>
      </x:c>
    </x:row>
    <x:row r="130" ht="21" customHeight="1">
      <x:c r="A130" s="1"/>
      <x:c r="B130" s="1"/>
      <x:c r="C130" s="1" t="str">
        <x:v>Backend-object requests</x:v>
      </x:c>
      <x:c r="D130" s="18" t="n">
        <x:f>SUM(F130:Q130)</x:f>
        <x:v>84.74999999999999</x:v>
      </x:c>
      <x:c r="E130" s="18"/>
      <x:c r="F130" s="18" t="n">
        <x:f>ROUNDUP(MAX(0,(F77+F94)-'Assumptions'!$E$193)/1000000,0)*'Assumptions'!$E$194</x:f>
        <x:v>1.05</x:v>
      </x:c>
      <x:c r="G130" s="18" t="n">
        <x:f>ROUNDUP(MAX(0,(G77+G94)-'Assumptions'!$E$193)/1000000,0)*'Assumptions'!$E$194</x:f>
        <x:v>1.7999999999999998</x:v>
      </x:c>
      <x:c r="H130" s="18" t="n">
        <x:f>ROUNDUP(MAX(0,(H77+H94)-'Assumptions'!$E$193)/1000000,0)*'Assumptions'!$E$194</x:f>
        <x:v>2.85</x:v>
      </x:c>
      <x:c r="I130" s="18" t="n">
        <x:f>ROUNDUP(MAX(0,(I77+I94)-'Assumptions'!$E$193)/1000000,0)*'Assumptions'!$E$194</x:f>
        <x:v>3.9</x:v>
      </x:c>
      <x:c r="J130" s="18" t="n">
        <x:f>ROUNDUP(MAX(0,(J77+J94)-'Assumptions'!$E$193)/1000000,0)*'Assumptions'!$E$194</x:f>
        <x:v>4.6499999999999995</x:v>
      </x:c>
      <x:c r="K130" s="18" t="n">
        <x:f>ROUNDUP(MAX(0,(K77+K94)-'Assumptions'!$E$193)/1000000,0)*'Assumptions'!$E$194</x:f>
        <x:v>6.45</x:v>
      </x:c>
      <x:c r="L130" s="18" t="n">
        <x:f>ROUNDUP(MAX(0,(L77+L94)-'Assumptions'!$E$193)/1000000,0)*'Assumptions'!$E$194</x:f>
        <x:v>7.5</x:v>
      </x:c>
      <x:c r="M130" s="18" t="n">
        <x:f>ROUNDUP(MAX(0,(M77+M94)-'Assumptions'!$E$193)/1000000,0)*'Assumptions'!$E$194</x:f>
        <x:v>9.15</x:v>
      </x:c>
      <x:c r="N130" s="18" t="n">
        <x:f>ROUNDUP(MAX(0,(N77+N94)-'Assumptions'!$E$193)/1000000,0)*'Assumptions'!$E$194</x:f>
        <x:v>10.049999999999999</x:v>
      </x:c>
      <x:c r="O130" s="18" t="n">
        <x:f>ROUNDUP(MAX(0,(O77+O94)-'Assumptions'!$E$193)/1000000,0)*'Assumptions'!$E$194</x:f>
        <x:v>11.7</x:v>
      </x:c>
      <x:c r="P130" s="18" t="n">
        <x:f>ROUNDUP(MAX(0,(P77+P94)-'Assumptions'!$E$193)/1000000,0)*'Assumptions'!$E$194</x:f>
        <x:v>13.049999999999999</x:v>
      </x:c>
      <x:c r="Q130" s="18" t="n">
        <x:f>ROUNDUP(MAX(0,(Q77+Q94)-'Assumptions'!$E$193)/1000000,0)*'Assumptions'!$E$194</x:f>
        <x:v>12.6</x:v>
      </x:c>
    </x:row>
    <x:row r="131" ht="21" customHeight="1">
      <x:c r="A131" s="1"/>
      <x:c r="B131" s="1"/>
      <x:c r="C131" s="1" t="str">
        <x:v>Backend-object duration</x:v>
      </x:c>
      <x:c r="D131" s="18" t="n">
        <x:f>SUM(F131:Q131)</x:f>
        <x:v>0</x:v>
      </x:c>
      <x:c r="E131" s="18"/>
      <x:c r="F131" s="18" t="n">
        <x:f>ROUNDUP(MAX(0,(F78+F95)-'Assumptions'!$E$195)/1000000,0)*'Assumptions'!$E$196</x:f>
        <x:v>0</x:v>
      </x:c>
      <x:c r="G131" s="18" t="n">
        <x:f>ROUNDUP(MAX(0,(G78+G95)-'Assumptions'!$E$195)/1000000,0)*'Assumptions'!$E$196</x:f>
        <x:v>0</x:v>
      </x:c>
      <x:c r="H131" s="18" t="n">
        <x:f>ROUNDUP(MAX(0,(H78+H95)-'Assumptions'!$E$195)/1000000,0)*'Assumptions'!$E$196</x:f>
        <x:v>0</x:v>
      </x:c>
      <x:c r="I131" s="18" t="n">
        <x:f>ROUNDUP(MAX(0,(I78+I95)-'Assumptions'!$E$195)/1000000,0)*'Assumptions'!$E$196</x:f>
        <x:v>0</x:v>
      </x:c>
      <x:c r="J131" s="18" t="n">
        <x:f>ROUNDUP(MAX(0,(J78+J95)-'Assumptions'!$E$195)/1000000,0)*'Assumptions'!$E$196</x:f>
        <x:v>0</x:v>
      </x:c>
      <x:c r="K131" s="18" t="n">
        <x:f>ROUNDUP(MAX(0,(K78+K95)-'Assumptions'!$E$195)/1000000,0)*'Assumptions'!$E$196</x:f>
        <x:v>0</x:v>
      </x:c>
      <x:c r="L131" s="18" t="n">
        <x:f>ROUNDUP(MAX(0,(L78+L95)-'Assumptions'!$E$195)/1000000,0)*'Assumptions'!$E$196</x:f>
        <x:v>0</x:v>
      </x:c>
      <x:c r="M131" s="18" t="n">
        <x:f>ROUNDUP(MAX(0,(M78+M95)-'Assumptions'!$E$195)/1000000,0)*'Assumptions'!$E$196</x:f>
        <x:v>0</x:v>
      </x:c>
      <x:c r="N131" s="18" t="n">
        <x:f>ROUNDUP(MAX(0,(N78+N95)-'Assumptions'!$E$195)/1000000,0)*'Assumptions'!$E$196</x:f>
        <x:v>0</x:v>
      </x:c>
      <x:c r="O131" s="18" t="n">
        <x:f>ROUNDUP(MAX(0,(O78+O95)-'Assumptions'!$E$195)/1000000,0)*'Assumptions'!$E$196</x:f>
        <x:v>0</x:v>
      </x:c>
      <x:c r="P131" s="18" t="n">
        <x:f>ROUNDUP(MAX(0,(P78+P95)-'Assumptions'!$E$195)/1000000,0)*'Assumptions'!$E$196</x:f>
        <x:v>0</x:v>
      </x:c>
      <x:c r="Q131" s="18" t="n">
        <x:f>ROUNDUP(MAX(0,(Q78+Q95)-'Assumptions'!$E$195)/1000000,0)*'Assumptions'!$E$196</x:f>
        <x:v>0</x:v>
      </x:c>
    </x:row>
    <x:row r="132" ht="21" customHeight="1">
      <x:c r="A132" s="1"/>
      <x:c r="B132" s="1"/>
      <x:c r="C132" s="1" t="str">
        <x:v>SQLite reads</x:v>
      </x:c>
      <x:c r="D132" s="18" t="n">
        <x:f>SUM(F132:Q132)</x:f>
        <x:v>0</x:v>
      </x:c>
      <x:c r="E132" s="18"/>
      <x:c r="F132" s="18" t="n">
        <x:f>MAX(0,(F79+F96)-'Assumptions'!$E$197)/1000000*'Assumptions'!$E$198</x:f>
        <x:v>0</x:v>
      </x:c>
      <x:c r="G132" s="18" t="n">
        <x:f>MAX(0,(G79+G96)-'Assumptions'!$E$197)/1000000*'Assumptions'!$E$198</x:f>
        <x:v>0</x:v>
      </x:c>
      <x:c r="H132" s="18" t="n">
        <x:f>MAX(0,(H79+H96)-'Assumptions'!$E$197)/1000000*'Assumptions'!$E$198</x:f>
        <x:v>0</x:v>
      </x:c>
      <x:c r="I132" s="18" t="n">
        <x:f>MAX(0,(I79+I96)-'Assumptions'!$E$197)/1000000*'Assumptions'!$E$198</x:f>
        <x:v>0</x:v>
      </x:c>
      <x:c r="J132" s="18" t="n">
        <x:f>MAX(0,(J79+J96)-'Assumptions'!$E$197)/1000000*'Assumptions'!$E$198</x:f>
        <x:v>0</x:v>
      </x:c>
      <x:c r="K132" s="18" t="n">
        <x:f>MAX(0,(K79+K96)-'Assumptions'!$E$197)/1000000*'Assumptions'!$E$198</x:f>
        <x:v>0</x:v>
      </x:c>
      <x:c r="L132" s="18" t="n">
        <x:f>MAX(0,(L79+L96)-'Assumptions'!$E$197)/1000000*'Assumptions'!$E$198</x:f>
        <x:v>0</x:v>
      </x:c>
      <x:c r="M132" s="18" t="n">
        <x:f>MAX(0,(M79+M96)-'Assumptions'!$E$197)/1000000*'Assumptions'!$E$198</x:f>
        <x:v>0</x:v>
      </x:c>
      <x:c r="N132" s="18" t="n">
        <x:f>MAX(0,(N79+N96)-'Assumptions'!$E$197)/1000000*'Assumptions'!$E$198</x:f>
        <x:v>0</x:v>
      </x:c>
      <x:c r="O132" s="18" t="n">
        <x:f>MAX(0,(O79+O96)-'Assumptions'!$E$197)/1000000*'Assumptions'!$E$198</x:f>
        <x:v>0</x:v>
      </x:c>
      <x:c r="P132" s="18" t="n">
        <x:f>MAX(0,(P79+P96)-'Assumptions'!$E$197)/1000000*'Assumptions'!$E$198</x:f>
        <x:v>0</x:v>
      </x:c>
      <x:c r="Q132" s="18" t="n">
        <x:f>MAX(0,(Q79+Q96)-'Assumptions'!$E$197)/1000000*'Assumptions'!$E$198</x:f>
        <x:v>0</x:v>
      </x:c>
    </x:row>
    <x:row r="133" ht="21" customHeight="1">
      <x:c r="A133" s="1"/>
      <x:c r="B133" s="1"/>
      <x:c r="C133" s="1" t="str">
        <x:v>SQLite writes</x:v>
      </x:c>
      <x:c r="D133" s="18" t="n">
        <x:f>SUM(F133:Q133)</x:f>
        <x:v>0</x:v>
      </x:c>
      <x:c r="E133" s="18"/>
      <x:c r="F133" s="18" t="n">
        <x:f>MAX(0,(F80+F97)-'Assumptions'!$E$199)/1000000*'Assumptions'!$E$200</x:f>
        <x:v>0</x:v>
      </x:c>
      <x:c r="G133" s="18" t="n">
        <x:f>MAX(0,(G80+G97)-'Assumptions'!$E$199)/1000000*'Assumptions'!$E$200</x:f>
        <x:v>0</x:v>
      </x:c>
      <x:c r="H133" s="18" t="n">
        <x:f>MAX(0,(H80+H97)-'Assumptions'!$E$199)/1000000*'Assumptions'!$E$200</x:f>
        <x:v>0</x:v>
      </x:c>
      <x:c r="I133" s="18" t="n">
        <x:f>MAX(0,(I80+I97)-'Assumptions'!$E$199)/1000000*'Assumptions'!$E$200</x:f>
        <x:v>0</x:v>
      </x:c>
      <x:c r="J133" s="18" t="n">
        <x:f>MAX(0,(J80+J97)-'Assumptions'!$E$199)/1000000*'Assumptions'!$E$200</x:f>
        <x:v>0</x:v>
      </x:c>
      <x:c r="K133" s="18" t="n">
        <x:f>MAX(0,(K80+K97)-'Assumptions'!$E$199)/1000000*'Assumptions'!$E$200</x:f>
        <x:v>0</x:v>
      </x:c>
      <x:c r="L133" s="18" t="n">
        <x:f>MAX(0,(L80+L97)-'Assumptions'!$E$199)/1000000*'Assumptions'!$E$200</x:f>
        <x:v>0</x:v>
      </x:c>
      <x:c r="M133" s="18" t="n">
        <x:f>MAX(0,(M80+M97)-'Assumptions'!$E$199)/1000000*'Assumptions'!$E$200</x:f>
        <x:v>0</x:v>
      </x:c>
      <x:c r="N133" s="18" t="n">
        <x:f>MAX(0,(N80+N97)-'Assumptions'!$E$199)/1000000*'Assumptions'!$E$200</x:f>
        <x:v>0</x:v>
      </x:c>
      <x:c r="O133" s="18" t="n">
        <x:f>MAX(0,(O80+O97)-'Assumptions'!$E$199)/1000000*'Assumptions'!$E$200</x:f>
        <x:v>0</x:v>
      </x:c>
      <x:c r="P133" s="18" t="n">
        <x:f>MAX(0,(P80+P97)-'Assumptions'!$E$199)/1000000*'Assumptions'!$E$200</x:f>
        <x:v>0</x:v>
      </x:c>
      <x:c r="Q133" s="18" t="n">
        <x:f>MAX(0,(Q80+Q97)-'Assumptions'!$E$199)/1000000*'Assumptions'!$E$200</x:f>
        <x:v>0</x:v>
      </x:c>
    </x:row>
    <x:row r="134" ht="21" customHeight="1">
      <x:c r="A134" s="1"/>
      <x:c r="B134" s="1"/>
      <x:c r="C134" s="1" t="str">
        <x:v>SQLite storage</x:v>
      </x:c>
      <x:c r="D134" s="18" t="n">
        <x:f>SUM(F134:Q134)</x:f>
        <x:v>21.4514996224</x:v>
      </x:c>
      <x:c r="E134" s="18"/>
      <x:c r="F134" s="18" t="n">
        <x:f>MAX(0,F81-'Assumptions'!$E$201)*'Assumptions'!$E$202</x:f>
        <x:v>0</x:v>
      </x:c>
      <x:c r="G134" s="18" t="n">
        <x:f>MAX(0,G81-'Assumptions'!$E$201)*'Assumptions'!$E$202</x:f>
        <x:v>0</x:v>
      </x:c>
      <x:c r="H134" s="18" t="n">
        <x:f>MAX(0,H81-'Assumptions'!$E$201)*'Assumptions'!$E$202</x:f>
        <x:v>0.07585054720000013</x:v>
      </x:c>
      <x:c r="I134" s="18" t="n">
        <x:f>MAX(0,I81-'Assumptions'!$E$201)*'Assumptions'!$E$202</x:f>
        <x:v>0.4675381247999999</x:v>
      </x:c>
      <x:c r="J134" s="18" t="n">
        <x:f>MAX(0,J81-'Assumptions'!$E$201)*'Assumptions'!$E$202</x:f>
        <x:v>0.9570997248000002</x:v>
      </x:c>
      <x:c r="K134" s="18" t="n">
        <x:f>MAX(0,K81-'Assumptions'!$E$201)*'Assumptions'!$E$202</x:f>
        <x:v>1.4471456768</x:v>
      </x:c>
      <x:c r="L134" s="18" t="n">
        <x:f>MAX(0,L81-'Assumptions'!$E$201)*'Assumptions'!$E$202</x:f>
        <x:v>1.9374732288</x:v>
      </x:c>
      <x:c r="M134" s="18" t="n">
        <x:f>MAX(0,M81-'Assumptions'!$E$201)*'Assumptions'!$E$202</x:f>
        <x:v>2.428217548800001</x:v>
      </x:c>
      <x:c r="N134" s="18" t="n">
        <x:f>MAX(0,N81-'Assumptions'!$E$201)*'Assumptions'!$E$202</x:f>
        <x:v>2.9192209408000007</x:v>
      </x:c>
      <x:c r="O134" s="18" t="n">
        <x:f>MAX(0,O81-'Assumptions'!$E$201)*'Assumptions'!$E$202</x:f>
        <x:v>3.4106636288</x:v>
      </x:c>
      <x:c r="P134" s="18" t="n">
        <x:f>MAX(0,P81-'Assumptions'!$E$201)*'Assumptions'!$E$202</x:f>
        <x:v>3.9024555008000004</x:v>
      </x:c>
      <x:c r="Q134" s="18" t="n">
        <x:f>MAX(0,Q81-'Assumptions'!$E$201)*'Assumptions'!$E$202</x:f>
        <x:v>3.9058347008000007</x:v>
      </x:c>
    </x:row>
    <x:row r="135" ht="21" customHeight="1">
      <x:c r="A135" s="1"/>
      <x:c r="B135" s="1"/>
      <x:c r="C135" s="1" t="str">
        <x:v>R2 storage</x:v>
      </x:c>
      <x:c r="D135" s="18" t="n">
        <x:f>SUM(F135:Q135)</x:f>
        <x:v>1.7249999999999999</x:v>
      </x:c>
      <x:c r="E135" s="18"/>
      <x:c r="F135" s="18" t="n">
        <x:f>ROUNDUP(MAX(0,F82-'Assumptions'!$E$203),0)*'Assumptions'!$E$204</x:f>
        <x:v>0</x:v>
      </x:c>
      <x:c r="G135" s="18" t="n">
        <x:f>ROUNDUP(MAX(0,G82-'Assumptions'!$E$203),0)*'Assumptions'!$E$204</x:f>
        <x:v>0</x:v>
      </x:c>
      <x:c r="H135" s="18" t="n">
        <x:f>ROUNDUP(MAX(0,H82-'Assumptions'!$E$203),0)*'Assumptions'!$E$204</x:f>
        <x:v>0</x:v>
      </x:c>
      <x:c r="I135" s="18" t="n">
        <x:f>ROUNDUP(MAX(0,I82-'Assumptions'!$E$203),0)*'Assumptions'!$E$204</x:f>
        <x:v>0</x:v>
      </x:c>
      <x:c r="J135" s="18" t="n">
        <x:f>ROUNDUP(MAX(0,J82-'Assumptions'!$E$203),0)*'Assumptions'!$E$204</x:f>
        <x:v>0.045</x:v>
      </x:c>
      <x:c r="K135" s="18" t="n">
        <x:f>ROUNDUP(MAX(0,K82-'Assumptions'!$E$203),0)*'Assumptions'!$E$204</x:f>
        <x:v>0.105</x:v>
      </x:c>
      <x:c r="L135" s="18" t="n">
        <x:f>ROUNDUP(MAX(0,L82-'Assumptions'!$E$203),0)*'Assumptions'!$E$204</x:f>
        <x:v>0.15</x:v>
      </x:c>
      <x:c r="M135" s="18" t="n">
        <x:f>ROUNDUP(MAX(0,M82-'Assumptions'!$E$203),0)*'Assumptions'!$E$204</x:f>
        <x:v>0.195</x:v>
      </x:c>
      <x:c r="N135" s="18" t="n">
        <x:f>ROUNDUP(MAX(0,N82-'Assumptions'!$E$203),0)*'Assumptions'!$E$204</x:f>
        <x:v>0.24</x:v>
      </x:c>
      <x:c r="O135" s="18" t="n">
        <x:f>ROUNDUP(MAX(0,O82-'Assumptions'!$E$203),0)*'Assumptions'!$E$204</x:f>
        <x:v>0.3</x:v>
      </x:c>
      <x:c r="P135" s="18" t="n">
        <x:f>ROUNDUP(MAX(0,P82-'Assumptions'!$E$203),0)*'Assumptions'!$E$204</x:f>
        <x:v>0.345</x:v>
      </x:c>
      <x:c r="Q135" s="18" t="n">
        <x:f>ROUNDUP(MAX(0,Q82-'Assumptions'!$E$203),0)*'Assumptions'!$E$204</x:f>
        <x:v>0.345</x:v>
      </x:c>
    </x:row>
    <x:row r="136" ht="21" customHeight="1">
      <x:c r="A136" s="1"/>
      <x:c r="B136" s="1"/>
      <x:c r="C136" s="1" t="str">
        <x:v>R2 class A</x:v>
      </x:c>
      <x:c r="D136" s="18" t="n">
        <x:f>SUM(F136:Q136)</x:f>
        <x:v>0</x:v>
      </x:c>
      <x:c r="E136" s="18"/>
      <x:c r="F136" s="18" t="n">
        <x:f>ROUNDUP(MAX(0,F83-'Assumptions'!$E$205)/1000000,0)*'Assumptions'!$E$206</x:f>
        <x:v>0</x:v>
      </x:c>
      <x:c r="G136" s="18" t="n">
        <x:f>ROUNDUP(MAX(0,G83-'Assumptions'!$E$205)/1000000,0)*'Assumptions'!$E$206</x:f>
        <x:v>0</x:v>
      </x:c>
      <x:c r="H136" s="18" t="n">
        <x:f>ROUNDUP(MAX(0,H83-'Assumptions'!$E$205)/1000000,0)*'Assumptions'!$E$206</x:f>
        <x:v>0</x:v>
      </x:c>
      <x:c r="I136" s="18" t="n">
        <x:f>ROUNDUP(MAX(0,I83-'Assumptions'!$E$205)/1000000,0)*'Assumptions'!$E$206</x:f>
        <x:v>0</x:v>
      </x:c>
      <x:c r="J136" s="18" t="n">
        <x:f>ROUNDUP(MAX(0,J83-'Assumptions'!$E$205)/1000000,0)*'Assumptions'!$E$206</x:f>
        <x:v>0</x:v>
      </x:c>
      <x:c r="K136" s="18" t="n">
        <x:f>ROUNDUP(MAX(0,K83-'Assumptions'!$E$205)/1000000,0)*'Assumptions'!$E$206</x:f>
        <x:v>0</x:v>
      </x:c>
      <x:c r="L136" s="18" t="n">
        <x:f>ROUNDUP(MAX(0,L83-'Assumptions'!$E$205)/1000000,0)*'Assumptions'!$E$206</x:f>
        <x:v>0</x:v>
      </x:c>
      <x:c r="M136" s="18" t="n">
        <x:f>ROUNDUP(MAX(0,M83-'Assumptions'!$E$205)/1000000,0)*'Assumptions'!$E$206</x:f>
        <x:v>0</x:v>
      </x:c>
      <x:c r="N136" s="18" t="n">
        <x:f>ROUNDUP(MAX(0,N83-'Assumptions'!$E$205)/1000000,0)*'Assumptions'!$E$206</x:f>
        <x:v>0</x:v>
      </x:c>
      <x:c r="O136" s="18" t="n">
        <x:f>ROUNDUP(MAX(0,O83-'Assumptions'!$E$205)/1000000,0)*'Assumptions'!$E$206</x:f>
        <x:v>0</x:v>
      </x:c>
      <x:c r="P136" s="18" t="n">
        <x:f>ROUNDUP(MAX(0,P83-'Assumptions'!$E$205)/1000000,0)*'Assumptions'!$E$206</x:f>
        <x:v>0</x:v>
      </x:c>
      <x:c r="Q136" s="18" t="n">
        <x:f>ROUNDUP(MAX(0,Q83-'Assumptions'!$E$205)/1000000,0)*'Assumptions'!$E$206</x:f>
        <x:v>0</x:v>
      </x:c>
    </x:row>
    <x:row r="137" ht="21" customHeight="1">
      <x:c r="A137" s="1"/>
      <x:c r="B137" s="1"/>
      <x:c r="C137" s="1" t="str">
        <x:v>R2 class B</x:v>
      </x:c>
      <x:c r="D137" s="18" t="n">
        <x:f>SUM(F137:Q137)</x:f>
        <x:v>0</x:v>
      </x:c>
      <x:c r="E137" s="18"/>
      <x:c r="F137" s="18" t="n">
        <x:f>ROUNDUP(MAX(0,F84-'Assumptions'!$E$207)/1000000,0)*'Assumptions'!$E$208</x:f>
        <x:v>0</x:v>
      </x:c>
      <x:c r="G137" s="18" t="n">
        <x:f>ROUNDUP(MAX(0,G84-'Assumptions'!$E$207)/1000000,0)*'Assumptions'!$E$208</x:f>
        <x:v>0</x:v>
      </x:c>
      <x:c r="H137" s="18" t="n">
        <x:f>ROUNDUP(MAX(0,H84-'Assumptions'!$E$207)/1000000,0)*'Assumptions'!$E$208</x:f>
        <x:v>0</x:v>
      </x:c>
      <x:c r="I137" s="18" t="n">
        <x:f>ROUNDUP(MAX(0,I84-'Assumptions'!$E$207)/1000000,0)*'Assumptions'!$E$208</x:f>
        <x:v>0</x:v>
      </x:c>
      <x:c r="J137" s="18" t="n">
        <x:f>ROUNDUP(MAX(0,J84-'Assumptions'!$E$207)/1000000,0)*'Assumptions'!$E$208</x:f>
        <x:v>0</x:v>
      </x:c>
      <x:c r="K137" s="18" t="n">
        <x:f>ROUNDUP(MAX(0,K84-'Assumptions'!$E$207)/1000000,0)*'Assumptions'!$E$208</x:f>
        <x:v>0</x:v>
      </x:c>
      <x:c r="L137" s="18" t="n">
        <x:f>ROUNDUP(MAX(0,L84-'Assumptions'!$E$207)/1000000,0)*'Assumptions'!$E$208</x:f>
        <x:v>0</x:v>
      </x:c>
      <x:c r="M137" s="18" t="n">
        <x:f>ROUNDUP(MAX(0,M84-'Assumptions'!$E$207)/1000000,0)*'Assumptions'!$E$208</x:f>
        <x:v>0</x:v>
      </x:c>
      <x:c r="N137" s="18" t="n">
        <x:f>ROUNDUP(MAX(0,N84-'Assumptions'!$E$207)/1000000,0)*'Assumptions'!$E$208</x:f>
        <x:v>0</x:v>
      </x:c>
      <x:c r="O137" s="18" t="n">
        <x:f>ROUNDUP(MAX(0,O84-'Assumptions'!$E$207)/1000000,0)*'Assumptions'!$E$208</x:f>
        <x:v>0</x:v>
      </x:c>
      <x:c r="P137" s="18" t="n">
        <x:f>ROUNDUP(MAX(0,P84-'Assumptions'!$E$207)/1000000,0)*'Assumptions'!$E$208</x:f>
        <x:v>0</x:v>
      </x:c>
      <x:c r="Q137" s="18" t="n">
        <x:f>ROUNDUP(MAX(0,Q84-'Assumptions'!$E$207)/1000000,0)*'Assumptions'!$E$208</x:f>
        <x:v>0</x:v>
      </x:c>
    </x:row>
    <x:row r="138" ht="21" customHeight="1">
      <x:c r="A138" s="1"/>
      <x:c r="B138" s="1"/>
      <x:c r="C138" s="1" t="str">
        <x:v>D1 reads</x:v>
      </x:c>
      <x:c r="D138" s="18" t="n">
        <x:f>SUM(F138:Q138)</x:f>
        <x:v>0</x:v>
      </x:c>
      <x:c r="E138" s="18"/>
      <x:c r="F138" s="18" t="n">
        <x:f>MAX(0,F85-'Assumptions'!$E$209)/1000000*'Assumptions'!$E$210</x:f>
        <x:v>0</x:v>
      </x:c>
      <x:c r="G138" s="18" t="n">
        <x:f>MAX(0,G85-'Assumptions'!$E$209)/1000000*'Assumptions'!$E$210</x:f>
        <x:v>0</x:v>
      </x:c>
      <x:c r="H138" s="18" t="n">
        <x:f>MAX(0,H85-'Assumptions'!$E$209)/1000000*'Assumptions'!$E$210</x:f>
        <x:v>0</x:v>
      </x:c>
      <x:c r="I138" s="18" t="n">
        <x:f>MAX(0,I85-'Assumptions'!$E$209)/1000000*'Assumptions'!$E$210</x:f>
        <x:v>0</x:v>
      </x:c>
      <x:c r="J138" s="18" t="n">
        <x:f>MAX(0,J85-'Assumptions'!$E$209)/1000000*'Assumptions'!$E$210</x:f>
        <x:v>0</x:v>
      </x:c>
      <x:c r="K138" s="18" t="n">
        <x:f>MAX(0,K85-'Assumptions'!$E$209)/1000000*'Assumptions'!$E$210</x:f>
        <x:v>0</x:v>
      </x:c>
      <x:c r="L138" s="18" t="n">
        <x:f>MAX(0,L85-'Assumptions'!$E$209)/1000000*'Assumptions'!$E$210</x:f>
        <x:v>0</x:v>
      </x:c>
      <x:c r="M138" s="18" t="n">
        <x:f>MAX(0,M85-'Assumptions'!$E$209)/1000000*'Assumptions'!$E$210</x:f>
        <x:v>0</x:v>
      </x:c>
      <x:c r="N138" s="18" t="n">
        <x:f>MAX(0,N85-'Assumptions'!$E$209)/1000000*'Assumptions'!$E$210</x:f>
        <x:v>0</x:v>
      </x:c>
      <x:c r="O138" s="18" t="n">
        <x:f>MAX(0,O85-'Assumptions'!$E$209)/1000000*'Assumptions'!$E$210</x:f>
        <x:v>0</x:v>
      </x:c>
      <x:c r="P138" s="18" t="n">
        <x:f>MAX(0,P85-'Assumptions'!$E$209)/1000000*'Assumptions'!$E$210</x:f>
        <x:v>0</x:v>
      </x:c>
      <x:c r="Q138" s="18" t="n">
        <x:f>MAX(0,Q85-'Assumptions'!$E$209)/1000000*'Assumptions'!$E$210</x:f>
        <x:v>0</x:v>
      </x:c>
    </x:row>
    <x:row r="139" ht="21" customHeight="1">
      <x:c r="A139" s="1"/>
      <x:c r="B139" s="1"/>
      <x:c r="C139" s="1" t="str">
        <x:v>D1 writes</x:v>
      </x:c>
      <x:c r="D139" s="18" t="n">
        <x:f>SUM(F139:Q139)</x:f>
        <x:v>0</x:v>
      </x:c>
      <x:c r="E139" s="18"/>
      <x:c r="F139" s="18" t="n">
        <x:f>MAX(0,F86-'Assumptions'!$E$211)/1000000*'Assumptions'!$E$212</x:f>
        <x:v>0</x:v>
      </x:c>
      <x:c r="G139" s="18" t="n">
        <x:f>MAX(0,G86-'Assumptions'!$E$211)/1000000*'Assumptions'!$E$212</x:f>
        <x:v>0</x:v>
      </x:c>
      <x:c r="H139" s="18" t="n">
        <x:f>MAX(0,H86-'Assumptions'!$E$211)/1000000*'Assumptions'!$E$212</x:f>
        <x:v>0</x:v>
      </x:c>
      <x:c r="I139" s="18" t="n">
        <x:f>MAX(0,I86-'Assumptions'!$E$211)/1000000*'Assumptions'!$E$212</x:f>
        <x:v>0</x:v>
      </x:c>
      <x:c r="J139" s="18" t="n">
        <x:f>MAX(0,J86-'Assumptions'!$E$211)/1000000*'Assumptions'!$E$212</x:f>
        <x:v>0</x:v>
      </x:c>
      <x:c r="K139" s="18" t="n">
        <x:f>MAX(0,K86-'Assumptions'!$E$211)/1000000*'Assumptions'!$E$212</x:f>
        <x:v>0</x:v>
      </x:c>
      <x:c r="L139" s="18" t="n">
        <x:f>MAX(0,L86-'Assumptions'!$E$211)/1000000*'Assumptions'!$E$212</x:f>
        <x:v>0</x:v>
      </x:c>
      <x:c r="M139" s="18" t="n">
        <x:f>MAX(0,M86-'Assumptions'!$E$211)/1000000*'Assumptions'!$E$212</x:f>
        <x:v>0</x:v>
      </x:c>
      <x:c r="N139" s="18" t="n">
        <x:f>MAX(0,N86-'Assumptions'!$E$211)/1000000*'Assumptions'!$E$212</x:f>
        <x:v>0</x:v>
      </x:c>
      <x:c r="O139" s="18" t="n">
        <x:f>MAX(0,O86-'Assumptions'!$E$211)/1000000*'Assumptions'!$E$212</x:f>
        <x:v>0</x:v>
      </x:c>
      <x:c r="P139" s="18" t="n">
        <x:f>MAX(0,P86-'Assumptions'!$E$211)/1000000*'Assumptions'!$E$212</x:f>
        <x:v>0</x:v>
      </x:c>
      <x:c r="Q139" s="18" t="n">
        <x:f>MAX(0,Q86-'Assumptions'!$E$211)/1000000*'Assumptions'!$E$212</x:f>
        <x:v>0</x:v>
      </x:c>
    </x:row>
    <x:row r="140" ht="21" customHeight="1">
      <x:c r="A140" s="1"/>
      <x:c r="B140" s="1"/>
      <x:c r="C140" s="1" t="str">
        <x:v>D1 storage</x:v>
      </x:c>
      <x:c r="D140" s="18" t="n">
        <x:f>SUM(F140:Q140)</x:f>
        <x:v>0</x:v>
      </x:c>
      <x:c r="E140" s="18"/>
      <x:c r="F140" s="18" t="n">
        <x:f>MAX(0,F87-'Assumptions'!$E$213)*'Assumptions'!$E$214</x:f>
        <x:v>0</x:v>
      </x:c>
      <x:c r="G140" s="18" t="n">
        <x:f>MAX(0,G87-'Assumptions'!$E$213)*'Assumptions'!$E$214</x:f>
        <x:v>0</x:v>
      </x:c>
      <x:c r="H140" s="18" t="n">
        <x:f>MAX(0,H87-'Assumptions'!$E$213)*'Assumptions'!$E$214</x:f>
        <x:v>0</x:v>
      </x:c>
      <x:c r="I140" s="18" t="n">
        <x:f>MAX(0,I87-'Assumptions'!$E$213)*'Assumptions'!$E$214</x:f>
        <x:v>0</x:v>
      </x:c>
      <x:c r="J140" s="18" t="n">
        <x:f>MAX(0,J87-'Assumptions'!$E$213)*'Assumptions'!$E$214</x:f>
        <x:v>0</x:v>
      </x:c>
      <x:c r="K140" s="18" t="n">
        <x:f>MAX(0,K87-'Assumptions'!$E$213)*'Assumptions'!$E$214</x:f>
        <x:v>0</x:v>
      </x:c>
      <x:c r="L140" s="18" t="n">
        <x:f>MAX(0,L87-'Assumptions'!$E$213)*'Assumptions'!$E$214</x:f>
        <x:v>0</x:v>
      </x:c>
      <x:c r="M140" s="18" t="n">
        <x:f>MAX(0,M87-'Assumptions'!$E$213)*'Assumptions'!$E$214</x:f>
        <x:v>0</x:v>
      </x:c>
      <x:c r="N140" s="18" t="n">
        <x:f>MAX(0,N87-'Assumptions'!$E$213)*'Assumptions'!$E$214</x:f>
        <x:v>0</x:v>
      </x:c>
      <x:c r="O140" s="18" t="n">
        <x:f>MAX(0,O87-'Assumptions'!$E$213)*'Assumptions'!$E$214</x:f>
        <x:v>0</x:v>
      </x:c>
      <x:c r="P140" s="18" t="n">
        <x:f>MAX(0,P87-'Assumptions'!$E$213)*'Assumptions'!$E$214</x:f>
        <x:v>0</x:v>
      </x:c>
      <x:c r="Q140" s="18" t="n">
        <x:f>MAX(0,Q87-'Assumptions'!$E$213)*'Assumptions'!$E$214</x:f>
        <x:v>0</x:v>
      </x:c>
    </x:row>
    <x:row r="141" ht="21" customHeight="1">
      <x:c r="A141" s="1"/>
      <x:c r="B141" s="1"/>
      <x:c r="C141" s="1" t="str">
        <x:v>Logging</x:v>
      </x:c>
      <x:c r="D141" s="18" t="n">
        <x:f>SUM(F141:Q141)</x:f>
        <x:v>0</x:v>
      </x:c>
      <x:c r="E141" s="18"/>
      <x:c r="F141" s="18" t="n">
        <x:f>IF(F$6&lt;DATE(2026,12,1),MAX(0,(F88+F98)-'Assumptions'!$E$215)/1000000*'Assumptions'!$E$216,MAX(0,(F89+F99)-'Assumptions'!$E$217)*'Assumptions'!$E$218+MAX(0,(F90+F100)-'Assumptions'!$E$219)*'Assumptions'!$E$220)</x:f>
        <x:v>0</x:v>
      </x:c>
      <x:c r="G141" s="18" t="n">
        <x:f>IF(G$6&lt;DATE(2026,12,1),MAX(0,(G88+G98)-'Assumptions'!$E$215)/1000000*'Assumptions'!$E$216,MAX(0,(G89+G99)-'Assumptions'!$E$217)*'Assumptions'!$E$218+MAX(0,(G90+G100)-'Assumptions'!$E$219)*'Assumptions'!$E$220)</x:f>
        <x:v>0</x:v>
      </x:c>
      <x:c r="H141" s="18" t="n">
        <x:f>IF(H$6&lt;DATE(2026,12,1),MAX(0,(H88+H98)-'Assumptions'!$E$215)/1000000*'Assumptions'!$E$216,MAX(0,(H89+H99)-'Assumptions'!$E$217)*'Assumptions'!$E$218+MAX(0,(H90+H100)-'Assumptions'!$E$219)*'Assumptions'!$E$220)</x:f>
        <x:v>0</x:v>
      </x:c>
      <x:c r="I141" s="18" t="n">
        <x:f>IF(I$6&lt;DATE(2026,12,1),MAX(0,(I88+I98)-'Assumptions'!$E$215)/1000000*'Assumptions'!$E$216,MAX(0,(I89+I99)-'Assumptions'!$E$217)*'Assumptions'!$E$218+MAX(0,(I90+I100)-'Assumptions'!$E$219)*'Assumptions'!$E$220)</x:f>
        <x:v>0</x:v>
      </x:c>
      <x:c r="J141" s="18" t="n">
        <x:f>IF(J$6&lt;DATE(2026,12,1),MAX(0,(J88+J98)-'Assumptions'!$E$215)/1000000*'Assumptions'!$E$216,MAX(0,(J89+J99)-'Assumptions'!$E$217)*'Assumptions'!$E$218+MAX(0,(J90+J100)-'Assumptions'!$E$219)*'Assumptions'!$E$220)</x:f>
        <x:v>0</x:v>
      </x:c>
      <x:c r="K141" s="18" t="n">
        <x:f>IF(K$6&lt;DATE(2026,12,1),MAX(0,(K88+K98)-'Assumptions'!$E$215)/1000000*'Assumptions'!$E$216,MAX(0,(K89+K99)-'Assumptions'!$E$217)*'Assumptions'!$E$218+MAX(0,(K90+K100)-'Assumptions'!$E$219)*'Assumptions'!$E$220)</x:f>
        <x:v>0</x:v>
      </x:c>
      <x:c r="L141" s="18" t="n">
        <x:f>IF(L$6&lt;DATE(2026,12,1),MAX(0,(L88+L98)-'Assumptions'!$E$215)/1000000*'Assumptions'!$E$216,MAX(0,(L89+L99)-'Assumptions'!$E$217)*'Assumptions'!$E$218+MAX(0,(L90+L100)-'Assumptions'!$E$219)*'Assumptions'!$E$220)</x:f>
        <x:v>0</x:v>
      </x:c>
      <x:c r="M141" s="18" t="n">
        <x:f>IF(M$6&lt;DATE(2026,12,1),MAX(0,(M88+M98)-'Assumptions'!$E$215)/1000000*'Assumptions'!$E$216,MAX(0,(M89+M99)-'Assumptions'!$E$217)*'Assumptions'!$E$218+MAX(0,(M90+M100)-'Assumptions'!$E$219)*'Assumptions'!$E$220)</x:f>
        <x:v>0</x:v>
      </x:c>
      <x:c r="N141" s="18" t="n">
        <x:f>IF(N$6&lt;DATE(2026,12,1),MAX(0,(N88+N98)-'Assumptions'!$E$215)/1000000*'Assumptions'!$E$216,MAX(0,(N89+N99)-'Assumptions'!$E$217)*'Assumptions'!$E$218+MAX(0,(N90+N100)-'Assumptions'!$E$219)*'Assumptions'!$E$220)</x:f>
        <x:v>0</x:v>
      </x:c>
      <x:c r="O141" s="18" t="n">
        <x:f>IF(O$6&lt;DATE(2026,12,1),MAX(0,(O88+O98)-'Assumptions'!$E$215)/1000000*'Assumptions'!$E$216,MAX(0,(O89+O99)-'Assumptions'!$E$217)*'Assumptions'!$E$218+MAX(0,(O90+O100)-'Assumptions'!$E$219)*'Assumptions'!$E$220)</x:f>
        <x:v>0</x:v>
      </x:c>
      <x:c r="P141" s="18" t="n">
        <x:f>IF(P$6&lt;DATE(2026,12,1),MAX(0,(P88+P98)-'Assumptions'!$E$215)/1000000*'Assumptions'!$E$216,MAX(0,(P89+P99)-'Assumptions'!$E$217)*'Assumptions'!$E$218+MAX(0,(P90+P100)-'Assumptions'!$E$219)*'Assumptions'!$E$220)</x:f>
        <x:v>0</x:v>
      </x:c>
      <x:c r="Q141" s="18" t="n">
        <x:f>IF(Q$6&lt;DATE(2026,12,1),MAX(0,(Q88+Q98)-'Assumptions'!$E$215)/1000000*'Assumptions'!$E$216,MAX(0,(Q89+Q99)-'Assumptions'!$E$217)*'Assumptions'!$E$218+MAX(0,(Q90+Q100)-'Assumptions'!$E$219)*'Assumptions'!$E$220)</x:f>
        <x:v>0</x:v>
      </x:c>
    </x:row>
    <x:row r="142" ht="21" customHeight="1">
      <x:c r="A142" s="1"/>
      <x:c r="B142" s="1"/>
      <x:c r="C142" s="1" t="str">
        <x:v>Container CPU</x:v>
      </x:c>
      <x:c r="D142" s="18" t="n">
        <x:f>SUM(F142:Q142)</x:f>
        <x:v>0</x:v>
      </x:c>
      <x:c r="E142" s="18"/>
      <x:c r="F142" s="18" t="n">
        <x:f>MAX(0,F101-'Assumptions'!$E$221)*'Assumptions'!$E$222</x:f>
        <x:v>0</x:v>
      </x:c>
      <x:c r="G142" s="18" t="n">
        <x:f>MAX(0,G101-'Assumptions'!$E$221)*'Assumptions'!$E$222</x:f>
        <x:v>0</x:v>
      </x:c>
      <x:c r="H142" s="18" t="n">
        <x:f>MAX(0,H101-'Assumptions'!$E$221)*'Assumptions'!$E$222</x:f>
        <x:v>0</x:v>
      </x:c>
      <x:c r="I142" s="18" t="n">
        <x:f>MAX(0,I101-'Assumptions'!$E$221)*'Assumptions'!$E$222</x:f>
        <x:v>0</x:v>
      </x:c>
      <x:c r="J142" s="18" t="n">
        <x:f>MAX(0,J101-'Assumptions'!$E$221)*'Assumptions'!$E$222</x:f>
        <x:v>0</x:v>
      </x:c>
      <x:c r="K142" s="18" t="n">
        <x:f>MAX(0,K101-'Assumptions'!$E$221)*'Assumptions'!$E$222</x:f>
        <x:v>0</x:v>
      </x:c>
      <x:c r="L142" s="18" t="n">
        <x:f>MAX(0,L101-'Assumptions'!$E$221)*'Assumptions'!$E$222</x:f>
        <x:v>0</x:v>
      </x:c>
      <x:c r="M142" s="18" t="n">
        <x:f>MAX(0,M101-'Assumptions'!$E$221)*'Assumptions'!$E$222</x:f>
        <x:v>0</x:v>
      </x:c>
      <x:c r="N142" s="18" t="n">
        <x:f>MAX(0,N101-'Assumptions'!$E$221)*'Assumptions'!$E$222</x:f>
        <x:v>0</x:v>
      </x:c>
      <x:c r="O142" s="18" t="n">
        <x:f>MAX(0,O101-'Assumptions'!$E$221)*'Assumptions'!$E$222</x:f>
        <x:v>0</x:v>
      </x:c>
      <x:c r="P142" s="18" t="n">
        <x:f>MAX(0,P101-'Assumptions'!$E$221)*'Assumptions'!$E$222</x:f>
        <x:v>0</x:v>
      </x:c>
      <x:c r="Q142" s="18" t="n">
        <x:f>MAX(0,Q101-'Assumptions'!$E$221)*'Assumptions'!$E$222</x:f>
        <x:v>0</x:v>
      </x:c>
    </x:row>
    <x:row r="143" ht="21" customHeight="1">
      <x:c r="A143" s="1"/>
      <x:c r="B143" s="1"/>
      <x:c r="C143" s="1" t="str">
        <x:v>Container memory</x:v>
      </x:c>
      <x:c r="D143" s="18" t="n">
        <x:f>SUM(F143:Q143)</x:f>
        <x:v>0</x:v>
      </x:c>
      <x:c r="E143" s="18"/>
      <x:c r="F143" s="18" t="n">
        <x:f>MAX(0,F102-'Assumptions'!$E$223)*'Assumptions'!$E$224</x:f>
        <x:v>0</x:v>
      </x:c>
      <x:c r="G143" s="18" t="n">
        <x:f>MAX(0,G102-'Assumptions'!$E$223)*'Assumptions'!$E$224</x:f>
        <x:v>0</x:v>
      </x:c>
      <x:c r="H143" s="18" t="n">
        <x:f>MAX(0,H102-'Assumptions'!$E$223)*'Assumptions'!$E$224</x:f>
        <x:v>0</x:v>
      </x:c>
      <x:c r="I143" s="18" t="n">
        <x:f>MAX(0,I102-'Assumptions'!$E$223)*'Assumptions'!$E$224</x:f>
        <x:v>0</x:v>
      </x:c>
      <x:c r="J143" s="18" t="n">
        <x:f>MAX(0,J102-'Assumptions'!$E$223)*'Assumptions'!$E$224</x:f>
        <x:v>0</x:v>
      </x:c>
      <x:c r="K143" s="18" t="n">
        <x:f>MAX(0,K102-'Assumptions'!$E$223)*'Assumptions'!$E$224</x:f>
        <x:v>0</x:v>
      </x:c>
      <x:c r="L143" s="18" t="n">
        <x:f>MAX(0,L102-'Assumptions'!$E$223)*'Assumptions'!$E$224</x:f>
        <x:v>0</x:v>
      </x:c>
      <x:c r="M143" s="18" t="n">
        <x:f>MAX(0,M102-'Assumptions'!$E$223)*'Assumptions'!$E$224</x:f>
        <x:v>0</x:v>
      </x:c>
      <x:c r="N143" s="18" t="n">
        <x:f>MAX(0,N102-'Assumptions'!$E$223)*'Assumptions'!$E$224</x:f>
        <x:v>0</x:v>
      </x:c>
      <x:c r="O143" s="18" t="n">
        <x:f>MAX(0,O102-'Assumptions'!$E$223)*'Assumptions'!$E$224</x:f>
        <x:v>0</x:v>
      </x:c>
      <x:c r="P143" s="18" t="n">
        <x:f>MAX(0,P102-'Assumptions'!$E$223)*'Assumptions'!$E$224</x:f>
        <x:v>0</x:v>
      </x:c>
      <x:c r="Q143" s="18" t="n">
        <x:f>MAX(0,Q102-'Assumptions'!$E$223)*'Assumptions'!$E$224</x:f>
        <x:v>0</x:v>
      </x:c>
    </x:row>
    <x:row r="144" ht="21" customHeight="1">
      <x:c r="A144" s="1"/>
      <x:c r="B144" s="1"/>
      <x:c r="C144" s="1" t="str">
        <x:v>Container disk</x:v>
      </x:c>
      <x:c r="D144" s="18" t="n">
        <x:f>SUM(F144:Q144)</x:f>
        <x:v>0</x:v>
      </x:c>
      <x:c r="E144" s="18"/>
      <x:c r="F144" s="18" t="n">
        <x:f>MAX(0,F103-'Assumptions'!$E$225)*'Assumptions'!$E$226</x:f>
        <x:v>0</x:v>
      </x:c>
      <x:c r="G144" s="18" t="n">
        <x:f>MAX(0,G103-'Assumptions'!$E$225)*'Assumptions'!$E$226</x:f>
        <x:v>0</x:v>
      </x:c>
      <x:c r="H144" s="18" t="n">
        <x:f>MAX(0,H103-'Assumptions'!$E$225)*'Assumptions'!$E$226</x:f>
        <x:v>0</x:v>
      </x:c>
      <x:c r="I144" s="18" t="n">
        <x:f>MAX(0,I103-'Assumptions'!$E$225)*'Assumptions'!$E$226</x:f>
        <x:v>0</x:v>
      </x:c>
      <x:c r="J144" s="18" t="n">
        <x:f>MAX(0,J103-'Assumptions'!$E$225)*'Assumptions'!$E$226</x:f>
        <x:v>0</x:v>
      </x:c>
      <x:c r="K144" s="18" t="n">
        <x:f>MAX(0,K103-'Assumptions'!$E$225)*'Assumptions'!$E$226</x:f>
        <x:v>0</x:v>
      </x:c>
      <x:c r="L144" s="18" t="n">
        <x:f>MAX(0,L103-'Assumptions'!$E$225)*'Assumptions'!$E$226</x:f>
        <x:v>0</x:v>
      </x:c>
      <x:c r="M144" s="18" t="n">
        <x:f>MAX(0,M103-'Assumptions'!$E$225)*'Assumptions'!$E$226</x:f>
        <x:v>0</x:v>
      </x:c>
      <x:c r="N144" s="18" t="n">
        <x:f>MAX(0,N103-'Assumptions'!$E$225)*'Assumptions'!$E$226</x:f>
        <x:v>0</x:v>
      </x:c>
      <x:c r="O144" s="18" t="n">
        <x:f>MAX(0,O103-'Assumptions'!$E$225)*'Assumptions'!$E$226</x:f>
        <x:v>0</x:v>
      </x:c>
      <x:c r="P144" s="18" t="n">
        <x:f>MAX(0,P103-'Assumptions'!$E$225)*'Assumptions'!$E$226</x:f>
        <x:v>0</x:v>
      </x:c>
      <x:c r="Q144" s="18" t="n">
        <x:f>MAX(0,Q103-'Assumptions'!$E$225)*'Assumptions'!$E$226</x:f>
        <x:v>0</x:v>
      </x:c>
    </x:row>
    <x:row r="145" ht="21" customHeight="1">
      <x:c r="A145" s="1"/>
      <x:c r="B145" s="1"/>
      <x:c r="C145" s="1" t="str">
        <x:v>Container egress</x:v>
      </x:c>
      <x:c r="D145" s="18" t="n">
        <x:f>SUM(F145:Q145)</x:f>
        <x:v>0</x:v>
      </x:c>
      <x:c r="E145" s="18"/>
      <x:c r="F145" s="18" t="n">
        <x:f>MAX(0,F104-'Assumptions'!$E$227)*'Assumptions'!$E$228</x:f>
        <x:v>0</x:v>
      </x:c>
      <x:c r="G145" s="18" t="n">
        <x:f>MAX(0,G104-'Assumptions'!$E$227)*'Assumptions'!$E$228</x:f>
        <x:v>0</x:v>
      </x:c>
      <x:c r="H145" s="18" t="n">
        <x:f>MAX(0,H104-'Assumptions'!$E$227)*'Assumptions'!$E$228</x:f>
        <x:v>0</x:v>
      </x:c>
      <x:c r="I145" s="18" t="n">
        <x:f>MAX(0,I104-'Assumptions'!$E$227)*'Assumptions'!$E$228</x:f>
        <x:v>0</x:v>
      </x:c>
      <x:c r="J145" s="18" t="n">
        <x:f>MAX(0,J104-'Assumptions'!$E$227)*'Assumptions'!$E$228</x:f>
        <x:v>0</x:v>
      </x:c>
      <x:c r="K145" s="18" t="n">
        <x:f>MAX(0,K104-'Assumptions'!$E$227)*'Assumptions'!$E$228</x:f>
        <x:v>0</x:v>
      </x:c>
      <x:c r="L145" s="18" t="n">
        <x:f>MAX(0,L104-'Assumptions'!$E$227)*'Assumptions'!$E$228</x:f>
        <x:v>0</x:v>
      </x:c>
      <x:c r="M145" s="18" t="n">
        <x:f>MAX(0,M104-'Assumptions'!$E$227)*'Assumptions'!$E$228</x:f>
        <x:v>0</x:v>
      </x:c>
      <x:c r="N145" s="18" t="n">
        <x:f>MAX(0,N104-'Assumptions'!$E$227)*'Assumptions'!$E$228</x:f>
        <x:v>0</x:v>
      </x:c>
      <x:c r="O145" s="18" t="n">
        <x:f>MAX(0,O104-'Assumptions'!$E$227)*'Assumptions'!$E$228</x:f>
        <x:v>0</x:v>
      </x:c>
      <x:c r="P145" s="18" t="n">
        <x:f>MAX(0,P104-'Assumptions'!$E$227)*'Assumptions'!$E$228</x:f>
        <x:v>0</x:v>
      </x:c>
      <x:c r="Q145" s="18" t="n">
        <x:f>MAX(0,Q104-'Assumptions'!$E$227)*'Assumptions'!$E$228</x:f>
        <x:v>0</x:v>
      </x:c>
    </x:row>
    <x:row r="146" ht="21" customHeight="1">
      <x:c r="A146" s="1"/>
      <x:c r="B146" s="1"/>
      <x:c r="C146" s="1" t="str">
        <x:v>Combined Cloudflare total (USD)</x:v>
      </x:c>
      <x:c r="D146" s="18" t="n">
        <x:f>SUM(F146:Q146)</x:f>
        <x:v>195.43851538</x:v>
      </x:c>
      <x:c r="E146" s="18"/>
      <x:c r="F146" s="18" t="n">
        <x:f>SUM(F127:F145)+'Assumptions'!$E$124</x:f>
        <x:v>6.05</x:v>
      </x:c>
      <x:c r="G146" s="18" t="n">
        <x:f>SUM(G127:G145)+'Assumptions'!$E$124</x:f>
        <x:v>6.8</x:v>
      </x:c>
      <x:c r="H146" s="18" t="n">
        <x:f>SUM(H127:H145)+'Assumptions'!$E$124</x:f>
        <x:v>7.9258505472</x:v>
      </x:c>
      <x:c r="I146" s="18" t="n">
        <x:f>SUM(I127:I145)+'Assumptions'!$E$124</x:f>
        <x:v>9.491137124000002</x:v>
      </x:c>
      <x:c r="J146" s="18" t="n">
        <x:f>SUM(J127:J145)+'Assumptions'!$E$124</x:f>
        <x:v>10.9235307776</x:v>
      </x:c>
      <x:c r="K146" s="18" t="n">
        <x:f>SUM(K127:K145)+'Assumptions'!$E$124</x:f>
        <x:v>14.226139004800002</x:v>
      </x:c>
      <x:c r="L146" s="18" t="n">
        <x:f>SUM(L127:L145)+'Assumptions'!$E$124</x:f>
        <x:v>16.5895299968</x:v>
      </x:c>
      <x:c r="M146" s="18" t="n">
        <x:f>SUM(M127:M145)+'Assumptions'!$E$124</x:f>
        <x:v>19.926808208000004</x:v>
      </x:c>
      <x:c r="N146" s="18" t="n">
        <x:f>SUM(N127:N145)+'Assumptions'!$E$124</x:f>
        <x:v>22.078629964799998</x:v>
      </x:c>
      <x:c r="O146" s="18" t="n">
        <x:f>SUM(O127:O145)+'Assumptions'!$E$124</x:f>
        <x:v>25.493851619200004</x:v>
      </x:c>
      <x:c r="P146" s="18" t="n">
        <x:f>SUM(P127:P145)+'Assumptions'!$E$124</x:f>
        <x:v>28.345442156799997</x:v>
      </x:c>
      <x:c r="Q146" s="18" t="n">
        <x:f>SUM(Q127:Q145)+'Assumptions'!$E$124</x:f>
        <x:v>27.587595980799996</x:v>
      </x:c>
    </x:row>
    <x:row r="147" ht="24" customHeight="1">
      <x:c r="A147" s="1"/>
      <x:c r="B147" s="1"/>
      <x:c r="C147" s="17" t="str">
        <x:v>External service budget (GBP)</x:v>
      </x:c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</x:row>
    <x:row r="148" ht="21" customHeight="1">
      <x:c r="A148" s="1"/>
      <x:c r="B148" s="1"/>
      <x:c r="C148" s="1" t="str">
        <x:v>Website and other tools (USD)</x:v>
      </x:c>
      <x:c r="D148" s="18" t="n">
        <x:f>SUM(F148:Q148)</x:f>
        <x:v>746.8</x:v>
      </x:c>
      <x:c r="E148" s="18"/>
      <x:c r="F148" s="18" t="n">
        <x:f>'Assumptions'!$E$144+'Assumptions'!$E$145+F8*'Assumptions'!$E$146+'Assumptions'!$E$147+'Assumptions'!$E$148*125</x:f>
        <x:v>44</x:v>
      </x:c>
      <x:c r="G148" s="18" t="n">
        <x:f>'Assumptions'!$E$144+'Assumptions'!$E$145+G8*'Assumptions'!$E$146+'Assumptions'!$E$147+'Assumptions'!$E$148*125</x:f>
        <x:v>46</x:v>
      </x:c>
      <x:c r="H148" s="18" t="n">
        <x:f>'Assumptions'!$E$144+'Assumptions'!$E$145+H8*'Assumptions'!$E$146+'Assumptions'!$E$147+'Assumptions'!$E$148*125</x:f>
        <x:v>48.8</x:v>
      </x:c>
      <x:c r="I148" s="18" t="n">
        <x:f>'Assumptions'!$E$144+'Assumptions'!$E$145+I8*'Assumptions'!$E$146+'Assumptions'!$E$147+'Assumptions'!$E$148*125</x:f>
        <x:v>52</x:v>
      </x:c>
      <x:c r="J148" s="18" t="n">
        <x:f>'Assumptions'!$E$144+'Assumptions'!$E$145+J8*'Assumptions'!$E$146+'Assumptions'!$E$147+'Assumptions'!$E$148*125</x:f>
        <x:v>56</x:v>
      </x:c>
      <x:c r="K148" s="18" t="n">
        <x:f>'Assumptions'!$E$144+'Assumptions'!$E$145+K8*'Assumptions'!$E$146+'Assumptions'!$E$147+'Assumptions'!$E$148*125</x:f>
        <x:v>60</x:v>
      </x:c>
      <x:c r="L148" s="18" t="n">
        <x:f>'Assumptions'!$E$144+'Assumptions'!$E$145+L8*'Assumptions'!$E$146+'Assumptions'!$E$147+'Assumptions'!$E$148*125</x:f>
        <x:v>64</x:v>
      </x:c>
      <x:c r="M148" s="18" t="n">
        <x:f>'Assumptions'!$E$144+'Assumptions'!$E$145+M8*'Assumptions'!$E$146+'Assumptions'!$E$147+'Assumptions'!$E$148*125</x:f>
        <x:v>68</x:v>
      </x:c>
      <x:c r="N148" s="18" t="n">
        <x:f>'Assumptions'!$E$144+'Assumptions'!$E$145+N8*'Assumptions'!$E$146+'Assumptions'!$E$147+'Assumptions'!$E$148*125</x:f>
        <x:v>72</x:v>
      </x:c>
      <x:c r="O148" s="18" t="n">
        <x:f>'Assumptions'!$E$144+'Assumptions'!$E$145+O8*'Assumptions'!$E$146+'Assumptions'!$E$147+'Assumptions'!$E$148*125</x:f>
        <x:v>76</x:v>
      </x:c>
      <x:c r="P148" s="18" t="n">
        <x:f>'Assumptions'!$E$144+'Assumptions'!$E$145+P8*'Assumptions'!$E$146+'Assumptions'!$E$147+'Assumptions'!$E$148*125</x:f>
        <x:v>80</x:v>
      </x:c>
      <x:c r="Q148" s="18" t="n">
        <x:f>'Assumptions'!$E$144+'Assumptions'!$E$145+Q8*'Assumptions'!$E$146+'Assumptions'!$E$147+'Assumptions'!$E$148*125</x:f>
        <x:v>80</x:v>
      </x:c>
    </x:row>
    <x:row r="149" ht="21" customHeight="1">
      <x:c r="A149" s="1"/>
      <x:c r="B149" s="1"/>
      <x:c r="C149" s="1" t="str">
        <x:v>Quoted tunnel supplier cost (USD)</x:v>
      </x:c>
      <x:c r="D149" s="18" t="n">
        <x:f>SUM(F149:Q149)</x:f>
        <x:v>0</x:v>
      </x:c>
      <x:c r="E149" s="18"/>
      <x:c r="F149" s="18" t="n">
        <x:f>(IF('Assumptions'!$E$4=4,F8*'Assumptions'!$E$149*'Assumptions'!$E$150,0)+IF('Assumptions'!$E$4=5,F8*'Assumptions'!$E$149*'Assumptions'!$E$150,0))</x:f>
        <x:v>0</x:v>
      </x:c>
      <x:c r="G149" s="18" t="n">
        <x:f>(IF('Assumptions'!$E$4=4,G8*'Assumptions'!$E$149*'Assumptions'!$E$150,0)+IF('Assumptions'!$E$4=5,G8*'Assumptions'!$E$149*'Assumptions'!$E$150,0))</x:f>
        <x:v>0</x:v>
      </x:c>
      <x:c r="H149" s="18" t="n">
        <x:f>(IF('Assumptions'!$E$4=4,H8*'Assumptions'!$E$149*'Assumptions'!$E$150,0)+IF('Assumptions'!$E$4=5,H8*'Assumptions'!$E$149*'Assumptions'!$E$150,0))</x:f>
        <x:v>0</x:v>
      </x:c>
      <x:c r="I149" s="18" t="n">
        <x:f>(IF('Assumptions'!$E$4=4,I8*'Assumptions'!$E$149*'Assumptions'!$E$150,0)+IF('Assumptions'!$E$4=5,I8*'Assumptions'!$E$149*'Assumptions'!$E$150,0))</x:f>
        <x:v>0</x:v>
      </x:c>
      <x:c r="J149" s="18" t="n">
        <x:f>(IF('Assumptions'!$E$4=4,J8*'Assumptions'!$E$149*'Assumptions'!$E$150,0)+IF('Assumptions'!$E$4=5,J8*'Assumptions'!$E$149*'Assumptions'!$E$150,0))</x:f>
        <x:v>0</x:v>
      </x:c>
      <x:c r="K149" s="18" t="n">
        <x:f>(IF('Assumptions'!$E$4=4,K8*'Assumptions'!$E$149*'Assumptions'!$E$150,0)+IF('Assumptions'!$E$4=5,K8*'Assumptions'!$E$149*'Assumptions'!$E$150,0))</x:f>
        <x:v>0</x:v>
      </x:c>
      <x:c r="L149" s="18" t="n">
        <x:f>(IF('Assumptions'!$E$4=4,L8*'Assumptions'!$E$149*'Assumptions'!$E$150,0)+IF('Assumptions'!$E$4=5,L8*'Assumptions'!$E$149*'Assumptions'!$E$150,0))</x:f>
        <x:v>0</x:v>
      </x:c>
      <x:c r="M149" s="18" t="n">
        <x:f>(IF('Assumptions'!$E$4=4,M8*'Assumptions'!$E$149*'Assumptions'!$E$150,0)+IF('Assumptions'!$E$4=5,M8*'Assumptions'!$E$149*'Assumptions'!$E$150,0))</x:f>
        <x:v>0</x:v>
      </x:c>
      <x:c r="N149" s="18" t="n">
        <x:f>(IF('Assumptions'!$E$4=4,N8*'Assumptions'!$E$149*'Assumptions'!$E$150,0)+IF('Assumptions'!$E$4=5,N8*'Assumptions'!$E$149*'Assumptions'!$E$150,0))</x:f>
        <x:v>0</x:v>
      </x:c>
      <x:c r="O149" s="18" t="n">
        <x:f>(IF('Assumptions'!$E$4=4,O8*'Assumptions'!$E$149*'Assumptions'!$E$150,0)+IF('Assumptions'!$E$4=5,O8*'Assumptions'!$E$149*'Assumptions'!$E$150,0))</x:f>
        <x:v>0</x:v>
      </x:c>
      <x:c r="P149" s="18" t="n">
        <x:f>(IF('Assumptions'!$E$4=4,P8*'Assumptions'!$E$149*'Assumptions'!$E$150,0)+IF('Assumptions'!$E$4=5,P8*'Assumptions'!$E$149*'Assumptions'!$E$150,0))</x:f>
        <x:v>0</x:v>
      </x:c>
      <x:c r="Q149" s="18" t="n">
        <x:f>(IF('Assumptions'!$E$4=4,Q8*'Assumptions'!$E$149*'Assumptions'!$E$150,0)+IF('Assumptions'!$E$4=5,Q8*'Assumptions'!$E$149*'Assumptions'!$E$150,0))</x:f>
        <x:v>0</x:v>
      </x:c>
    </x:row>
    <x:row r="150" ht="21" customHeight="1">
      <x:c r="A150" s="1"/>
      <x:c r="B150" s="1"/>
      <x:c r="C150" s="1" t="str">
        <x:v>Free service external spend (GBP)</x:v>
      </x:c>
      <x:c r="D150" s="31" t="n">
        <x:f>SUM(F150:Q150)</x:f>
        <x:v>706.678886535</x:v>
      </x:c>
      <x:c r="E150" s="31"/>
      <x:c r="F150" s="31" t="n">
        <x:f>SUM(F125,F148,F149)*'Assumptions'!$E$126</x:f>
        <x:v>37.537499999999994</x:v>
      </x:c>
      <x:c r="G150" s="31" t="n">
        <x:f>SUM(G125,G148,G149)*'Assumptions'!$E$126</x:f>
        <x:v>39.599999999999994</x:v>
      </x:c>
      <x:c r="H150" s="31" t="n">
        <x:f>SUM(H125,H148,H149)*'Assumptions'!$E$126</x:f>
        <x:v>42.5443879104</x:v>
      </x:c>
      <x:c r="I150" s="31" t="n">
        <x:f>SUM(I125,I148,I149)*'Assumptions'!$E$126</x:f>
        <x:v>46.118352843000004</x:v>
      </x:c>
      <x:c r="J150" s="31" t="n">
        <x:f>SUM(J125,J148,J149)*'Assumptions'!$E$126</x:f>
        <x:v>50.192648083200005</x:v>
      </x:c>
      <x:c r="K150" s="31" t="n">
        <x:f>SUM(K125,K148,K149)*'Assumptions'!$E$126</x:f>
        <x:v>55.6696042536</x:v>
      </x:c>
      <x:c r="L150" s="31" t="n">
        <x:f>SUM(L125,L148,L149)*'Assumptions'!$E$126</x:f>
        <x:v>60.4421474976</x:v>
      </x:c>
      <x:c r="M150" s="31" t="n">
        <x:f>SUM(M125,M148,M149)*'Assumptions'!$E$126</x:f>
        <x:v>65.94510615600001</x:v>
      </x:c>
      <x:c r="N150" s="31" t="n">
        <x:f>SUM(N125,N148,N149)*'Assumptions'!$E$126</x:f>
        <x:v>70.5589724736</x:v>
      </x:c>
      <x:c r="O150" s="31" t="n">
        <x:f>SUM(O125,O148,O149)*'Assumptions'!$E$126</x:f>
        <x:v>76.12038871440001</x:v>
      </x:c>
      <x:c r="P150" s="31" t="n">
        <x:f>SUM(P125,P148,P149)*'Assumptions'!$E$126</x:f>
        <x:v>81.2590816176</x:v>
      </x:c>
      <x:c r="Q150" s="31" t="n">
        <x:f>SUM(Q125,Q148,Q149)*'Assumptions'!$E$126</x:f>
        <x:v>80.6906969856</x:v>
      </x:c>
    </x:row>
    <x:row r="151" ht="21" customHeight="1">
      <x:c r="A151" s="1"/>
      <x:c r="B151" s="1"/>
      <x:c r="C151" s="1" t="str">
        <x:v>Incremental Agents provider spend (GBP)</x:v>
      </x:c>
      <x:c r="D151" s="31" t="n">
        <x:f>SUM(F151:Q151)</x:f>
        <x:v>0</x:v>
      </x:c>
      <x:c r="E151" s="31"/>
      <x:c r="F151" s="31" t="n">
        <x:f>(F146-F125)*'Assumptions'!$E$126</x:f>
        <x:v>0</x:v>
      </x:c>
      <x:c r="G151" s="31" t="n">
        <x:f>(G146-G125)*'Assumptions'!$E$126</x:f>
        <x:v>0</x:v>
      </x:c>
      <x:c r="H151" s="31" t="n">
        <x:f>(H146-H125)*'Assumptions'!$E$126</x:f>
        <x:v>0</x:v>
      </x:c>
      <x:c r="I151" s="31" t="n">
        <x:f>(I146-I125)*'Assumptions'!$E$126</x:f>
        <x:v>0</x:v>
      </x:c>
      <x:c r="J151" s="31" t="n">
        <x:f>(J146-J125)*'Assumptions'!$E$126</x:f>
        <x:v>0</x:v>
      </x:c>
      <x:c r="K151" s="31" t="n">
        <x:f>(K146-K125)*'Assumptions'!$E$126</x:f>
        <x:v>0</x:v>
      </x:c>
      <x:c r="L151" s="31" t="n">
        <x:f>(L146-L125)*'Assumptions'!$E$126</x:f>
        <x:v>0</x:v>
      </x:c>
      <x:c r="M151" s="31" t="n">
        <x:f>(M146-M125)*'Assumptions'!$E$126</x:f>
        <x:v>0</x:v>
      </x:c>
      <x:c r="N151" s="31" t="n">
        <x:f>(N146-N125)*'Assumptions'!$E$126</x:f>
        <x:v>0</x:v>
      </x:c>
      <x:c r="O151" s="31" t="n">
        <x:f>(O146-O125)*'Assumptions'!$E$126</x:f>
        <x:v>0</x:v>
      </x:c>
      <x:c r="P151" s="31" t="n">
        <x:f>(P146-P125)*'Assumptions'!$E$126</x:f>
        <x:v>0</x:v>
      </x:c>
      <x:c r="Q151" s="31" t="n">
        <x:f>(Q146-Q125)*'Assumptions'!$E$126</x:f>
        <x:v>0</x:v>
      </x:c>
    </x:row>
    <x:row r="152" ht="24" customHeight="1">
      <x:c r="A152" s="1"/>
      <x:c r="B152" s="1"/>
      <x:c r="C152" s="17" t="str">
        <x:v>Future hosted execution economics (GBP)</x:v>
      </x:c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</x:row>
    <x:row r="153" ht="21" customHeight="1">
      <x:c r="A153" s="1"/>
      <x:c r="B153" s="1"/>
      <x:c r="C153" s="1" t="str">
        <x:v>Execution revenue earned</x:v>
      </x:c>
      <x:c r="D153" s="31" t="n">
        <x:f>SUM(F153:Q153)</x:f>
        <x:v>0</x:v>
      </x:c>
      <x:c r="E153" s="31"/>
      <x:c r="F153" s="31" t="n">
        <x:f>F13*'Assumptions'!$E$166</x:f>
        <x:v>0</x:v>
      </x:c>
      <x:c r="G153" s="31" t="n">
        <x:f>G13*'Assumptions'!$E$166</x:f>
        <x:v>0</x:v>
      </x:c>
      <x:c r="H153" s="31" t="n">
        <x:f>H13*'Assumptions'!$E$166</x:f>
        <x:v>0</x:v>
      </x:c>
      <x:c r="I153" s="31" t="n">
        <x:f>I13*'Assumptions'!$E$166</x:f>
        <x:v>0</x:v>
      </x:c>
      <x:c r="J153" s="31" t="n">
        <x:f>J13*'Assumptions'!$E$166</x:f>
        <x:v>0</x:v>
      </x:c>
      <x:c r="K153" s="31" t="n">
        <x:f>K13*'Assumptions'!$E$166</x:f>
        <x:v>0</x:v>
      </x:c>
      <x:c r="L153" s="31" t="n">
        <x:f>L13*'Assumptions'!$E$166</x:f>
        <x:v>0</x:v>
      </x:c>
      <x:c r="M153" s="31" t="n">
        <x:f>M13*'Assumptions'!$E$166</x:f>
        <x:v>0</x:v>
      </x:c>
      <x:c r="N153" s="31" t="n">
        <x:f>N13*'Assumptions'!$E$166</x:f>
        <x:v>0</x:v>
      </x:c>
      <x:c r="O153" s="31" t="n">
        <x:f>O13*'Assumptions'!$E$166</x:f>
        <x:v>0</x:v>
      </x:c>
      <x:c r="P153" s="31" t="n">
        <x:f>P13*'Assumptions'!$E$166</x:f>
        <x:v>0</x:v>
      </x:c>
      <x:c r="Q153" s="31" t="n">
        <x:f>Q13*'Assumptions'!$E$166</x:f>
        <x:v>0</x:v>
      </x:c>
    </x:row>
    <x:row r="154" ht="21" customHeight="1">
      <x:c r="A154" s="1"/>
      <x:c r="B154" s="1"/>
      <x:c r="C154" s="1" t="str">
        <x:v>Allocated payment and Billing fees</x:v>
      </x:c>
      <x:c r="D154" s="31" t="n">
        <x:f>SUM(F154:Q154)</x:f>
        <x:v>0</x:v>
      </x:c>
      <x:c r="E154" s="31"/>
      <x:c r="F154" s="31" t="n">
        <x:f>F153*('Assumptions'!$E$178+'Assumptions'!$E$179/'Assumptions'!$E$180+'Assumptions'!$E$181)</x:f>
        <x:v>0</x:v>
      </x:c>
      <x:c r="G154" s="31" t="n">
        <x:f>G153*('Assumptions'!$E$178+'Assumptions'!$E$179/'Assumptions'!$E$180+'Assumptions'!$E$181)</x:f>
        <x:v>0</x:v>
      </x:c>
      <x:c r="H154" s="31" t="n">
        <x:f>H153*('Assumptions'!$E$178+'Assumptions'!$E$179/'Assumptions'!$E$180+'Assumptions'!$E$181)</x:f>
        <x:v>0</x:v>
      </x:c>
      <x:c r="I154" s="31" t="n">
        <x:f>I153*('Assumptions'!$E$178+'Assumptions'!$E$179/'Assumptions'!$E$180+'Assumptions'!$E$181)</x:f>
        <x:v>0</x:v>
      </x:c>
      <x:c r="J154" s="31" t="n">
        <x:f>J153*('Assumptions'!$E$178+'Assumptions'!$E$179/'Assumptions'!$E$180+'Assumptions'!$E$181)</x:f>
        <x:v>0</x:v>
      </x:c>
      <x:c r="K154" s="31" t="n">
        <x:f>K153*('Assumptions'!$E$178+'Assumptions'!$E$179/'Assumptions'!$E$180+'Assumptions'!$E$181)</x:f>
        <x:v>0</x:v>
      </x:c>
      <x:c r="L154" s="31" t="n">
        <x:f>L153*('Assumptions'!$E$178+'Assumptions'!$E$179/'Assumptions'!$E$180+'Assumptions'!$E$181)</x:f>
        <x:v>0</x:v>
      </x:c>
      <x:c r="M154" s="31" t="n">
        <x:f>M153*('Assumptions'!$E$178+'Assumptions'!$E$179/'Assumptions'!$E$180+'Assumptions'!$E$181)</x:f>
        <x:v>0</x:v>
      </x:c>
      <x:c r="N154" s="31" t="n">
        <x:f>N153*('Assumptions'!$E$178+'Assumptions'!$E$179/'Assumptions'!$E$180+'Assumptions'!$E$181)</x:f>
        <x:v>0</x:v>
      </x:c>
      <x:c r="O154" s="31" t="n">
        <x:f>O153*('Assumptions'!$E$178+'Assumptions'!$E$179/'Assumptions'!$E$180+'Assumptions'!$E$181)</x:f>
        <x:v>0</x:v>
      </x:c>
      <x:c r="P154" s="31" t="n">
        <x:f>P153*('Assumptions'!$E$178+'Assumptions'!$E$179/'Assumptions'!$E$180+'Assumptions'!$E$181)</x:f>
        <x:v>0</x:v>
      </x:c>
      <x:c r="Q154" s="31" t="n">
        <x:f>Q153*('Assumptions'!$E$178+'Assumptions'!$E$179/'Assumptions'!$E$180+'Assumptions'!$E$181)</x:f>
        <x:v>0</x:v>
      </x:c>
    </x:row>
    <x:row r="155" ht="21" customHeight="1">
      <x:c r="A155" s="1"/>
      <x:c r="B155" s="1"/>
      <x:c r="C155" s="1" t="str">
        <x:v>Refund and fraud reserve</x:v>
      </x:c>
      <x:c r="D155" s="31" t="n">
        <x:f>SUM(F155:Q155)</x:f>
        <x:v>0</x:v>
      </x:c>
      <x:c r="E155" s="31"/>
      <x:c r="F155" s="31" t="n">
        <x:f>F153*'Assumptions'!$E$182</x:f>
        <x:v>0</x:v>
      </x:c>
      <x:c r="G155" s="31" t="n">
        <x:f>G153*'Assumptions'!$E$182</x:f>
        <x:v>0</x:v>
      </x:c>
      <x:c r="H155" s="31" t="n">
        <x:f>H153*'Assumptions'!$E$182</x:f>
        <x:v>0</x:v>
      </x:c>
      <x:c r="I155" s="31" t="n">
        <x:f>I153*'Assumptions'!$E$182</x:f>
        <x:v>0</x:v>
      </x:c>
      <x:c r="J155" s="31" t="n">
        <x:f>J153*'Assumptions'!$E$182</x:f>
        <x:v>0</x:v>
      </x:c>
      <x:c r="K155" s="31" t="n">
        <x:f>K153*'Assumptions'!$E$182</x:f>
        <x:v>0</x:v>
      </x:c>
      <x:c r="L155" s="31" t="n">
        <x:f>L153*'Assumptions'!$E$182</x:f>
        <x:v>0</x:v>
      </x:c>
      <x:c r="M155" s="31" t="n">
        <x:f>M153*'Assumptions'!$E$182</x:f>
        <x:v>0</x:v>
      </x:c>
      <x:c r="N155" s="31" t="n">
        <x:f>N153*'Assumptions'!$E$182</x:f>
        <x:v>0</x:v>
      </x:c>
      <x:c r="O155" s="31" t="n">
        <x:f>O153*'Assumptions'!$E$182</x:f>
        <x:v>0</x:v>
      </x:c>
      <x:c r="P155" s="31" t="n">
        <x:f>P153*'Assumptions'!$E$182</x:f>
        <x:v>0</x:v>
      </x:c>
      <x:c r="Q155" s="31" t="n">
        <x:f>Q153*'Assumptions'!$E$182</x:f>
        <x:v>0</x:v>
      </x:c>
    </x:row>
    <x:row r="156" ht="21" customHeight="1">
      <x:c r="A156" s="1"/>
      <x:c r="B156" s="1"/>
      <x:c r="C156" s="1" t="str">
        <x:v>Buyer support allocation</x:v>
      </x:c>
      <x:c r="D156" s="31" t="n">
        <x:f>SUM(F156:Q156)</x:f>
        <x:v>0</x:v>
      </x:c>
      <x:c r="E156" s="31"/>
      <x:c r="F156" s="31" t="n">
        <x:f>F12*'Assumptions'!$E$183</x:f>
        <x:v>0</x:v>
      </x:c>
      <x:c r="G156" s="31" t="n">
        <x:f>G12*'Assumptions'!$E$183</x:f>
        <x:v>0</x:v>
      </x:c>
      <x:c r="H156" s="31" t="n">
        <x:f>H12*'Assumptions'!$E$183</x:f>
        <x:v>0</x:v>
      </x:c>
      <x:c r="I156" s="31" t="n">
        <x:f>I12*'Assumptions'!$E$183</x:f>
        <x:v>0</x:v>
      </x:c>
      <x:c r="J156" s="31" t="n">
        <x:f>J12*'Assumptions'!$E$183</x:f>
        <x:v>0</x:v>
      </x:c>
      <x:c r="K156" s="31" t="n">
        <x:f>K12*'Assumptions'!$E$183</x:f>
        <x:v>0</x:v>
      </x:c>
      <x:c r="L156" s="31" t="n">
        <x:f>L12*'Assumptions'!$E$183</x:f>
        <x:v>0</x:v>
      </x:c>
      <x:c r="M156" s="31" t="n">
        <x:f>M12*'Assumptions'!$E$183</x:f>
        <x:v>0</x:v>
      </x:c>
      <x:c r="N156" s="31" t="n">
        <x:f>N12*'Assumptions'!$E$183</x:f>
        <x:v>0</x:v>
      </x:c>
      <x:c r="O156" s="31" t="n">
        <x:f>O12*'Assumptions'!$E$183</x:f>
        <x:v>0</x:v>
      </x:c>
      <x:c r="P156" s="31" t="n">
        <x:f>P12*'Assumptions'!$E$183</x:f>
        <x:v>0</x:v>
      </x:c>
      <x:c r="Q156" s="31" t="n">
        <x:f>Q12*'Assumptions'!$E$183</x:f>
        <x:v>0</x:v>
      </x:c>
    </x:row>
    <x:row r="157" ht="21" customHeight="1">
      <x:c r="A157" s="1"/>
      <x:c r="B157" s="1"/>
      <x:c r="C157" s="1" t="str">
        <x:v>Agents contribution to free service</x:v>
      </x:c>
      <x:c r="D157" s="31" t="n">
        <x:f>SUM(F157:Q157)</x:f>
        <x:v>0</x:v>
      </x:c>
      <x:c r="E157" s="31"/>
      <x:c r="F157" s="31" t="n">
        <x:f>F153-SUM(F151,F154,F155,F156)</x:f>
        <x:v>0</x:v>
      </x:c>
      <x:c r="G157" s="31" t="n">
        <x:f>G153-SUM(G151,G154,G155,G156)</x:f>
        <x:v>0</x:v>
      </x:c>
      <x:c r="H157" s="31" t="n">
        <x:f>H153-SUM(H151,H154,H155,H156)</x:f>
        <x:v>0</x:v>
      </x:c>
      <x:c r="I157" s="31" t="n">
        <x:f>I153-SUM(I151,I154,I155,I156)</x:f>
        <x:v>0</x:v>
      </x:c>
      <x:c r="J157" s="31" t="n">
        <x:f>J153-SUM(J151,J154,J155,J156)</x:f>
        <x:v>0</x:v>
      </x:c>
      <x:c r="K157" s="31" t="n">
        <x:f>K153-SUM(K151,K154,K155,K156)</x:f>
        <x:v>0</x:v>
      </x:c>
      <x:c r="L157" s="31" t="n">
        <x:f>L153-SUM(L151,L154,L155,L156)</x:f>
        <x:v>0</x:v>
      </x:c>
      <x:c r="M157" s="31" t="n">
        <x:f>M153-SUM(M151,M154,M155,M156)</x:f>
        <x:v>0</x:v>
      </x:c>
      <x:c r="N157" s="31" t="n">
        <x:f>N153-SUM(N151,N154,N155,N156)</x:f>
        <x:v>0</x:v>
      </x:c>
      <x:c r="O157" s="31" t="n">
        <x:f>O153-SUM(O151,O154,O155,O156)</x:f>
        <x:v>0</x:v>
      </x:c>
      <x:c r="P157" s="31" t="n">
        <x:f>P153-SUM(P151,P154,P155,P156)</x:f>
        <x:v>0</x:v>
      </x:c>
      <x:c r="Q157" s="31" t="n">
        <x:f>Q153-SUM(Q151,Q154,Q155,Q156)</x:f>
        <x:v>0</x:v>
      </x:c>
    </x:row>
    <x:row r="158" ht="24" customHeight="1">
      <x:c r="A158" s="1"/>
      <x:c r="B158" s="1"/>
      <x:c r="C158" s="17" t="str">
        <x:v>Operator and support allocation (GBP)</x:v>
      </x:c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</x:row>
    <x:row r="159" ht="21" customHeight="1">
      <x:c r="A159" s="1"/>
      <x:c r="B159" s="1"/>
      <x:c r="C159" s="1" t="str">
        <x:v>Operator and incident time</x:v>
      </x:c>
      <x:c r="D159" s="31" t="n">
        <x:f>SUM(F159:Q159)</x:f>
        <x:v>8640</x:v>
      </x:c>
      <x:c r="E159" s="31"/>
      <x:c r="F159" s="31" t="n">
        <x:f>('Assumptions'!$E$152+'Assumptions'!$E$153)*'Assumptions'!$E$154</x:f>
        <x:v>720</x:v>
      </x:c>
      <x:c r="G159" s="31" t="n">
        <x:f>('Assumptions'!$E$152+'Assumptions'!$E$153)*'Assumptions'!$E$154</x:f>
        <x:v>720</x:v>
      </x:c>
      <x:c r="H159" s="31" t="n">
        <x:f>('Assumptions'!$E$152+'Assumptions'!$E$153)*'Assumptions'!$E$154</x:f>
        <x:v>720</x:v>
      </x:c>
      <x:c r="I159" s="31" t="n">
        <x:f>('Assumptions'!$E$152+'Assumptions'!$E$153)*'Assumptions'!$E$154</x:f>
        <x:v>720</x:v>
      </x:c>
      <x:c r="J159" s="31" t="n">
        <x:f>('Assumptions'!$E$152+'Assumptions'!$E$153)*'Assumptions'!$E$154</x:f>
        <x:v>720</x:v>
      </x:c>
      <x:c r="K159" s="31" t="n">
        <x:f>('Assumptions'!$E$152+'Assumptions'!$E$153)*'Assumptions'!$E$154</x:f>
        <x:v>720</x:v>
      </x:c>
      <x:c r="L159" s="31" t="n">
        <x:f>('Assumptions'!$E$152+'Assumptions'!$E$153)*'Assumptions'!$E$154</x:f>
        <x:v>720</x:v>
      </x:c>
      <x:c r="M159" s="31" t="n">
        <x:f>('Assumptions'!$E$152+'Assumptions'!$E$153)*'Assumptions'!$E$154</x:f>
        <x:v>720</x:v>
      </x:c>
      <x:c r="N159" s="31" t="n">
        <x:f>('Assumptions'!$E$152+'Assumptions'!$E$153)*'Assumptions'!$E$154</x:f>
        <x:v>720</x:v>
      </x:c>
      <x:c r="O159" s="31" t="n">
        <x:f>('Assumptions'!$E$152+'Assumptions'!$E$153)*'Assumptions'!$E$154</x:f>
        <x:v>720</x:v>
      </x:c>
      <x:c r="P159" s="31" t="n">
        <x:f>('Assumptions'!$E$152+'Assumptions'!$E$153)*'Assumptions'!$E$154</x:f>
        <x:v>720</x:v>
      </x:c>
      <x:c r="Q159" s="31" t="n">
        <x:f>('Assumptions'!$E$152+'Assumptions'!$E$153)*'Assumptions'!$E$154</x:f>
        <x:v>720</x:v>
      </x:c>
    </x:row>
    <x:row r="160" ht="21" customHeight="1">
      <x:c r="A160" s="1"/>
      <x:c r="B160" s="1"/>
      <x:c r="C160" s="1" t="str">
        <x:v>Free-user support time</x:v>
      </x:c>
      <x:c r="D160" s="31" t="n">
        <x:f>SUM(F160:Q160)</x:f>
        <x:v>5336</x:v>
      </x:c>
      <x:c r="E160" s="31"/>
      <x:c r="F160" s="31" t="n">
        <x:f>F8*'Assumptions'!$E$156*'Assumptions'!$E$157/60*'Assumptions'!$E$158</x:f>
        <x:v>80</x:v>
      </x:c>
      <x:c r="G160" s="31" t="n">
        <x:f>G8*'Assumptions'!$E$156*'Assumptions'!$E$157/60*'Assumptions'!$E$158</x:f>
        <x:v>120</x:v>
      </x:c>
      <x:c r="H160" s="31" t="n">
        <x:f>H8*'Assumptions'!$E$156*'Assumptions'!$E$157/60*'Assumptions'!$E$158</x:f>
        <x:v>176</x:v>
      </x:c>
      <x:c r="I160" s="31" t="n">
        <x:f>I8*'Assumptions'!$E$156*'Assumptions'!$E$157/60*'Assumptions'!$E$158</x:f>
        <x:v>240</x:v>
      </x:c>
      <x:c r="J160" s="31" t="n">
        <x:f>J8*'Assumptions'!$E$156*'Assumptions'!$E$157/60*'Assumptions'!$E$158</x:f>
        <x:v>320</x:v>
      </x:c>
      <x:c r="K160" s="31" t="n">
        <x:f>K8*'Assumptions'!$E$156*'Assumptions'!$E$157/60*'Assumptions'!$E$158</x:f>
        <x:v>400</x:v>
      </x:c>
      <x:c r="L160" s="31" t="n">
        <x:f>L8*'Assumptions'!$E$156*'Assumptions'!$E$157/60*'Assumptions'!$E$158</x:f>
        <x:v>480</x:v>
      </x:c>
      <x:c r="M160" s="31" t="n">
        <x:f>M8*'Assumptions'!$E$156*'Assumptions'!$E$157/60*'Assumptions'!$E$158</x:f>
        <x:v>560</x:v>
      </x:c>
      <x:c r="N160" s="31" t="n">
        <x:f>N8*'Assumptions'!$E$156*'Assumptions'!$E$157/60*'Assumptions'!$E$158</x:f>
        <x:v>640</x:v>
      </x:c>
      <x:c r="O160" s="31" t="n">
        <x:f>O8*'Assumptions'!$E$156*'Assumptions'!$E$157/60*'Assumptions'!$E$158</x:f>
        <x:v>720</x:v>
      </x:c>
      <x:c r="P160" s="31" t="n">
        <x:f>P8*'Assumptions'!$E$156*'Assumptions'!$E$157/60*'Assumptions'!$E$158</x:f>
        <x:v>800</x:v>
      </x:c>
      <x:c r="Q160" s="31" t="n">
        <x:f>Q8*'Assumptions'!$E$156*'Assumptions'!$E$157/60*'Assumptions'!$E$158</x:f>
        <x:v>800</x:v>
      </x:c>
    </x:row>
    <x:row r="161" ht="21" customHeight="1">
      <x:c r="A161" s="1"/>
      <x:c r="B161" s="1"/>
      <x:c r="C161" s="1" t="str">
        <x:v>One-time measurement work</x:v>
      </x:c>
      <x:c r="D161" s="31" t="n">
        <x:f>SUM(F161:Q161)</x:f>
        <x:v>1440</x:v>
      </x:c>
      <x:c r="E161" s="31"/>
      <x:c r="F161" s="31" t="n">
        <x:f>'Assumptions'!$E$155*'Assumptions'!$E$154</x:f>
        <x:v>1440</x:v>
      </x:c>
      <x:c r="G161" s="31" t="n">
        <x:f>0</x:f>
        <x:v>0</x:v>
      </x:c>
      <x:c r="H161" s="31" t="n">
        <x:f>0</x:f>
        <x:v>0</x:v>
      </x:c>
      <x:c r="I161" s="31" t="n">
        <x:f>0</x:f>
        <x:v>0</x:v>
      </x:c>
      <x:c r="J161" s="31" t="n">
        <x:f>0</x:f>
        <x:v>0</x:v>
      </x:c>
      <x:c r="K161" s="31" t="n">
        <x:f>0</x:f>
        <x:v>0</x:v>
      </x:c>
      <x:c r="L161" s="31" t="n">
        <x:f>0</x:f>
        <x:v>0</x:v>
      </x:c>
      <x:c r="M161" s="31" t="n">
        <x:f>0</x:f>
        <x:v>0</x:v>
      </x:c>
      <x:c r="N161" s="31" t="n">
        <x:f>0</x:f>
        <x:v>0</x:v>
      </x:c>
      <x:c r="O161" s="31" t="n">
        <x:f>0</x:f>
        <x:v>0</x:v>
      </x:c>
      <x:c r="P161" s="31" t="n">
        <x:f>0</x:f>
        <x:v>0</x:v>
      </x:c>
      <x:c r="Q161" s="31" t="n">
        <x:f>0</x:f>
        <x:v>0</x:v>
      </x:c>
    </x:row>
    <x:row r="162" ht="21" customHeight="1">
      <x:c r="A162" s="1"/>
      <x:c r="B162" s="1"/>
      <x:c r="C162" s="1" t="str">
        <x:v>Total cost including allocated time</x:v>
      </x:c>
      <x:c r="D162" s="31" t="n">
        <x:f>SUM(F162:Q162)</x:f>
        <x:v>16122.678886534999</x:v>
      </x:c>
      <x:c r="E162" s="31"/>
      <x:c r="F162" s="31" t="n">
        <x:f>SUM(F150,F159,F160,F161)</x:f>
        <x:v>2277.5375</x:v>
      </x:c>
      <x:c r="G162" s="31" t="n">
        <x:f>SUM(G150,G159,G160,G161)</x:f>
        <x:v>879.6</x:v>
      </x:c>
      <x:c r="H162" s="31" t="n">
        <x:f>SUM(H150,H159,H160,H161)</x:f>
        <x:v>938.5443879104</x:v>
      </x:c>
      <x:c r="I162" s="31" t="n">
        <x:f>SUM(I150,I159,I160,I161)</x:f>
        <x:v>1006.118352843</x:v>
      </x:c>
      <x:c r="J162" s="31" t="n">
        <x:f>SUM(J150,J159,J160,J161)</x:f>
        <x:v>1090.1926480831999</x:v>
      </x:c>
      <x:c r="K162" s="31" t="n">
        <x:f>SUM(K150,K159,K160,K161)</x:f>
        <x:v>1175.6696042536</x:v>
      </x:c>
      <x:c r="L162" s="31" t="n">
        <x:f>SUM(L150,L159,L160,L161)</x:f>
        <x:v>1260.4421474976</x:v>
      </x:c>
      <x:c r="M162" s="31" t="n">
        <x:f>SUM(M150,M159,M160,M161)</x:f>
        <x:v>1345.945106156</x:v>
      </x:c>
      <x:c r="N162" s="31" t="n">
        <x:f>SUM(N150,N159,N160,N161)</x:f>
        <x:v>1430.5589724736</x:v>
      </x:c>
      <x:c r="O162" s="31" t="n">
        <x:f>SUM(O150,O159,O160,O161)</x:f>
        <x:v>1516.1203887144</x:v>
      </x:c>
      <x:c r="P162" s="31" t="n">
        <x:f>SUM(P150,P159,P160,P161)</x:f>
        <x:v>1601.2590816176</x:v>
      </x:c>
      <x:c r="Q162" s="31" t="n">
        <x:f>SUM(Q150,Q159,Q160,Q161)</x:f>
        <x:v>1600.6906969856</x:v>
      </x:c>
    </x:row>
    <x:row r="163" ht="21" customHeight="1">
      <x:c r="A163" s="1"/>
      <x:c r="B163" s="1"/>
      <x:c r="C163" s="1" t="str">
        <x:v>Cost after Agents contribution</x:v>
      </x:c>
      <x:c r="D163" s="31" t="n">
        <x:f>SUM(F163:Q163)</x:f>
        <x:v>16122.678886534999</x:v>
      </x:c>
      <x:c r="E163" s="31"/>
      <x:c r="F163" s="31" t="n">
        <x:f>F162-F157</x:f>
        <x:v>2277.5375</x:v>
      </x:c>
      <x:c r="G163" s="31" t="n">
        <x:f>G162-G157</x:f>
        <x:v>879.6</x:v>
      </x:c>
      <x:c r="H163" s="31" t="n">
        <x:f>H162-H157</x:f>
        <x:v>938.5443879104</x:v>
      </x:c>
      <x:c r="I163" s="31" t="n">
        <x:f>I162-I157</x:f>
        <x:v>1006.118352843</x:v>
      </x:c>
      <x:c r="J163" s="31" t="n">
        <x:f>J162-J157</x:f>
        <x:v>1090.1926480831999</x:v>
      </x:c>
      <x:c r="K163" s="31" t="n">
        <x:f>K162-K157</x:f>
        <x:v>1175.6696042536</x:v>
      </x:c>
      <x:c r="L163" s="31" t="n">
        <x:f>L162-L157</x:f>
        <x:v>1260.4421474976</x:v>
      </x:c>
      <x:c r="M163" s="31" t="n">
        <x:f>M162-M157</x:f>
        <x:v>1345.945106156</x:v>
      </x:c>
      <x:c r="N163" s="31" t="n">
        <x:f>N162-N157</x:f>
        <x:v>1430.5589724736</x:v>
      </x:c>
      <x:c r="O163" s="31" t="n">
        <x:f>O162-O157</x:f>
        <x:v>1516.1203887144</x:v>
      </x:c>
      <x:c r="P163" s="31" t="n">
        <x:f>P162-P157</x:f>
        <x:v>1601.2590816176</x:v>
      </x:c>
      <x:c r="Q163" s="31" t="n">
        <x:f>Q162-Q157</x:f>
        <x:v>1600.6906969856</x:v>
      </x:c>
    </x:row>
    <x:row r="164" ht="21" customHeight="1">
      <x:c r="A164" s="1"/>
      <x:c r="B164" s="1"/>
      <x:c r="C164" s="1" t="str">
        <x:v>External-cost reserve incl. contingency</x:v>
      </x:c>
      <x:c r="D164" s="31" t="n">
        <x:f>SUM(F164:Q164)</x:f>
        <x:v>883.3486081687499</x:v>
      </x:c>
      <x:c r="E164" s="31"/>
      <x:c r="F164" s="31" t="n">
        <x:f>F150*(1+'Assumptions'!$E$151)+SUM(F159,F160,F161)*'Assumptions'!$E$159</x:f>
        <x:v>46.92187499999999</x:v>
      </x:c>
      <x:c r="G164" s="31" t="n">
        <x:f>G150*(1+'Assumptions'!$E$151)+SUM(G159,G160,G161)*'Assumptions'!$E$159</x:f>
        <x:v>49.49999999999999</x:v>
      </x:c>
      <x:c r="H164" s="31" t="n">
        <x:f>H150*(1+'Assumptions'!$E$151)+SUM(H159,H160,H161)*'Assumptions'!$E$159</x:f>
        <x:v>53.180484887999995</x:v>
      </x:c>
      <x:c r="I164" s="31" t="n">
        <x:f>I150*(1+'Assumptions'!$E$151)+SUM(I159,I160,I161)*'Assumptions'!$E$159</x:f>
        <x:v>57.64794105375</x:v>
      </x:c>
      <x:c r="J164" s="31" t="n">
        <x:f>J150*(1+'Assumptions'!$E$151)+SUM(J159,J160,J161)*'Assumptions'!$E$159</x:f>
        <x:v>62.740810104000005</x:v>
      </x:c>
      <x:c r="K164" s="31" t="n">
        <x:f>K150*(1+'Assumptions'!$E$151)+SUM(K159,K160,K161)*'Assumptions'!$E$159</x:f>
        <x:v>69.587005317</x:v>
      </x:c>
      <x:c r="L164" s="31" t="n">
        <x:f>L150*(1+'Assumptions'!$E$151)+SUM(L159,L160,L161)*'Assumptions'!$E$159</x:f>
        <x:v>75.552684372</x:v>
      </x:c>
      <x:c r="M164" s="31" t="n">
        <x:f>M150*(1+'Assumptions'!$E$151)+SUM(M159,M160,M161)*'Assumptions'!$E$159</x:f>
        <x:v>82.43138269500001</x:v>
      </x:c>
      <x:c r="N164" s="31" t="n">
        <x:f>N150*(1+'Assumptions'!$E$151)+SUM(N159,N160,N161)*'Assumptions'!$E$159</x:f>
        <x:v>88.19871559199999</x:v>
      </x:c>
      <x:c r="O164" s="31" t="n">
        <x:f>O150*(1+'Assumptions'!$E$151)+SUM(O159,O160,O161)*'Assumptions'!$E$159</x:f>
        <x:v>95.15048589300001</x:v>
      </x:c>
      <x:c r="P164" s="31" t="n">
        <x:f>P150*(1+'Assumptions'!$E$151)+SUM(P159,P160,P161)*'Assumptions'!$E$159</x:f>
        <x:v>101.57385202200001</x:v>
      </x:c>
      <x:c r="Q164" s="31" t="n">
        <x:f>Q150*(1+'Assumptions'!$E$151)+SUM(Q159,Q160,Q161)*'Assumptions'!$E$159</x:f>
        <x:v>100.86337123199999</x:v>
      </x:c>
    </x:row>
    <x:row r="165" ht="21" customHeight="1">
      <x:c r="A165" s="1"/>
      <x:c r="B165" s="1"/>
      <x:c r="C165" s="1" t="str">
        <x:v>External-cost reserve remaining</x:v>
      </x:c>
      <x:c r="D165" s="31" t="n">
        <x:f>Q165</x:f>
        <x:v>4116.651391831249</x:v>
      </x:c>
      <x:c r="E165" s="31"/>
      <x:c r="F165" s="31" t="n">
        <x:f>'Assumptions'!$E$160-F164</x:f>
        <x:v>4953.078125</x:v>
      </x:c>
      <x:c r="G165" s="31" t="n">
        <x:f>F165-G164</x:f>
        <x:v>4903.578125</x:v>
      </x:c>
      <x:c r="H165" s="31" t="n">
        <x:f>G165-H164</x:f>
        <x:v>4850.397640112</x:v>
      </x:c>
      <x:c r="I165" s="31" t="n">
        <x:f>H165-I164</x:f>
        <x:v>4792.7496990582495</x:v>
      </x:c>
      <x:c r="J165" s="31" t="n">
        <x:f>I165-J164</x:f>
        <x:v>4730.008888954249</x:v>
      </x:c>
      <x:c r="K165" s="31" t="n">
        <x:f>J165-K164</x:f>
        <x:v>4660.421883637249</x:v>
      </x:c>
      <x:c r="L165" s="31" t="n">
        <x:f>K165-L164</x:f>
        <x:v>4584.869199265249</x:v>
      </x:c>
      <x:c r="M165" s="31" t="n">
        <x:f>L165-M164</x:f>
        <x:v>4502.437816570249</x:v>
      </x:c>
      <x:c r="N165" s="31" t="n">
        <x:f>M165-N164</x:f>
        <x:v>4414.23910097825</x:v>
      </x:c>
      <x:c r="O165" s="31" t="n">
        <x:f>N165-O164</x:f>
        <x:v>4319.088615085249</x:v>
      </x:c>
      <x:c r="P165" s="31" t="n">
        <x:f>O165-P164</x:f>
        <x:v>4217.514763063249</x:v>
      </x:c>
      <x:c r="Q165" s="31" t="n">
        <x:f>P165-Q164</x:f>
        <x:v>4116.651391831249</x:v>
      </x:c>
    </x:row>
    <x:row r="166" ht="24" customHeight="1">
      <x:c r="A166" s="1"/>
      <x:c r="B166" s="1"/>
      <x:c r="C166" s="17" t="str">
        <x:v>Cloudflare credits (USD, grant coverage and invoice treatment assumed)</x:v>
      </x:c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</x:row>
    <x:row r="167" ht="21" customHeight="1">
      <x:c r="A167" s="1"/>
      <x:c r="B167" s="1"/>
      <x:c r="C167" s="1" t="str">
        <x:v>Opening credit balance</x:v>
      </x:c>
      <x:c r="D167" s="18" t="n">
        <x:f>F167</x:f>
        <x:v>10000</x:v>
      </x:c>
      <x:c r="E167" s="18"/>
      <x:c r="F167" s="18" t="n">
        <x:f>'Assumptions'!$E$122</x:f>
        <x:v>10000</x:v>
      </x:c>
      <x:c r="G167" s="18" t="n">
        <x:f>F171</x:f>
        <x:v>9993.95</x:v>
      </x:c>
      <x:c r="H167" s="18" t="n">
        <x:f>G171</x:f>
        <x:v>9987.150000000001</x:v>
      </x:c>
      <x:c r="I167" s="18" t="n">
        <x:f>H171</x:f>
        <x:v>9979.2241494528</x:v>
      </x:c>
      <x:c r="J167" s="18" t="n">
        <x:f>I171</x:f>
        <x:v>9969.733012328801</x:v>
      </x:c>
      <x:c r="K167" s="18" t="n">
        <x:f>J171</x:f>
        <x:v>9958.809481551201</x:v>
      </x:c>
      <x:c r="L167" s="18" t="n">
        <x:f>K171</x:f>
        <x:v>9944.5833425464</x:v>
      </x:c>
      <x:c r="M167" s="18" t="n">
        <x:f>L171</x:f>
        <x:v>9927.993812549601</x:v>
      </x:c>
      <x:c r="N167" s="18" t="n">
        <x:f>M171</x:f>
        <x:v>9908.067004341601</x:v>
      </x:c>
      <x:c r="O167" s="18" t="n">
        <x:f>N171</x:f>
        <x:v>9885.9883743768</x:v>
      </x:c>
      <x:c r="P167" s="18" t="n">
        <x:f>O171</x:f>
        <x:v>9860.4945227576</x:v>
      </x:c>
      <x:c r="Q167" s="18" t="n">
        <x:f>P171</x:f>
        <x:v>9832.1490806008</x:v>
      </x:c>
    </x:row>
    <x:row r="168" ht="21" customHeight="1">
      <x:c r="A168" s="1"/>
      <x:c r="B168" s="1"/>
      <x:c r="C168" s="1" t="str">
        <x:v>Credit-eligible days in period</x:v>
      </x:c>
      <x:c r="D168" s="18" t="n">
        <x:f>SUM(F168:Q168)</x:f>
        <x:v>349</x:v>
      </x:c>
      <x:c r="E168" s="18"/>
      <x:c r="F168" s="18" t="n">
        <x:f>MAX(0,MIN(F9,'Assumptions'!$E$123-F$6))</x:f>
        <x:v>28</x:v>
      </x:c>
      <x:c r="G168" s="18" t="n">
        <x:f>MAX(0,MIN(G9,'Assumptions'!$E$123-G$6))</x:f>
        <x:v>30</x:v>
      </x:c>
      <x:c r="H168" s="18" t="n">
        <x:f>MAX(0,MIN(H9,'Assumptions'!$E$123-H$6))</x:f>
        <x:v>31</x:v>
      </x:c>
      <x:c r="I168" s="18" t="n">
        <x:f>MAX(0,MIN(I9,'Assumptions'!$E$123-I$6))</x:f>
        <x:v>31</x:v>
      </x:c>
      <x:c r="J168" s="18" t="n">
        <x:f>MAX(0,MIN(J9,'Assumptions'!$E$123-J$6))</x:f>
        <x:v>28</x:v>
      </x:c>
      <x:c r="K168" s="18" t="n">
        <x:f>MAX(0,MIN(K9,'Assumptions'!$E$123-K$6))</x:f>
        <x:v>31</x:v>
      </x:c>
      <x:c r="L168" s="18" t="n">
        <x:f>MAX(0,MIN(L9,'Assumptions'!$E$123-L$6))</x:f>
        <x:v>30</x:v>
      </x:c>
      <x:c r="M168" s="18" t="n">
        <x:f>MAX(0,MIN(M9,'Assumptions'!$E$123-M$6))</x:f>
        <x:v>31</x:v>
      </x:c>
      <x:c r="N168" s="18" t="n">
        <x:f>MAX(0,MIN(N9,'Assumptions'!$E$123-N$6))</x:f>
        <x:v>30</x:v>
      </x:c>
      <x:c r="O168" s="18" t="n">
        <x:f>MAX(0,MIN(O9,'Assumptions'!$E$123-O$6))</x:f>
        <x:v>31</x:v>
      </x:c>
      <x:c r="P168" s="18" t="n">
        <x:f>MAX(0,MIN(P9,'Assumptions'!$E$123-P$6))</x:f>
        <x:v>31</x:v>
      </x:c>
      <x:c r="Q168" s="18" t="n">
        <x:f>MAX(0,MIN(Q9,'Assumptions'!$E$123-Q$6))</x:f>
        <x:v>17</x:v>
      </x:c>
    </x:row>
    <x:row r="169" ht="21" customHeight="1">
      <x:c r="A169" s="1"/>
      <x:c r="B169" s="1"/>
      <x:c r="C169" s="1" t="str">
        <x:v>Cloudflare credit applied</x:v>
      </x:c>
      <x:c r="D169" s="18" t="n">
        <x:f>SUM(F169:Q169)</x:f>
        <x:v>183.4838904549867</x:v>
      </x:c>
      <x:c r="E169" s="18"/>
      <x:c r="F169" s="18" t="n">
        <x:f>MIN(F167,F146*F168/F9)</x:f>
        <x:v>6.05</x:v>
      </x:c>
      <x:c r="G169" s="18" t="n">
        <x:f>MIN(G167,G146*G168/G9)</x:f>
        <x:v>6.8</x:v>
      </x:c>
      <x:c r="H169" s="18" t="n">
        <x:f>MIN(H167,H146*H168/H9)</x:f>
        <x:v>7.925850547199999</x:v>
      </x:c>
      <x:c r="I169" s="18" t="n">
        <x:f>MIN(I167,I146*I168/I9)</x:f>
        <x:v>9.491137124000002</x:v>
      </x:c>
      <x:c r="J169" s="18" t="n">
        <x:f>MIN(J167,J146*J168/J9)</x:f>
        <x:v>10.923530777599998</x:v>
      </x:c>
      <x:c r="K169" s="18" t="n">
        <x:f>MIN(K167,K146*K168/K9)</x:f>
        <x:v>14.226139004800002</x:v>
      </x:c>
      <x:c r="L169" s="18" t="n">
        <x:f>MIN(L167,L146*L168/L9)</x:f>
        <x:v>16.5895299968</x:v>
      </x:c>
      <x:c r="M169" s="18" t="n">
        <x:f>MIN(M167,M146*M168/M9)</x:f>
        <x:v>19.926808208000004</x:v>
      </x:c>
      <x:c r="N169" s="18" t="n">
        <x:f>MIN(N167,N146*N168/N9)</x:f>
        <x:v>22.078629964799998</x:v>
      </x:c>
      <x:c r="O169" s="18" t="n">
        <x:f>MIN(O167,O146*O168/O9)</x:f>
        <x:v>25.493851619200004</x:v>
      </x:c>
      <x:c r="P169" s="18" t="n">
        <x:f>MIN(P167,P146*P168/P9)</x:f>
        <x:v>28.345442156799997</x:v>
      </x:c>
      <x:c r="Q169" s="18" t="n">
        <x:f>MIN(Q167,Q146*Q168/Q9)</x:f>
        <x:v>15.632971055786665</x:v>
      </x:c>
    </x:row>
    <x:row r="170" ht="21" customHeight="1">
      <x:c r="A170" s="1"/>
      <x:c r="B170" s="1"/>
      <x:c r="C170" s="1" t="str">
        <x:v>Unused credit expired</x:v>
      </x:c>
      <x:c r="D170" s="18" t="n">
        <x:f>SUM(F170:Q170)</x:f>
        <x:v>9816.516109545013</x:v>
      </x:c>
      <x:c r="E170" s="18"/>
      <x:c r="F170" s="18" t="n">
        <x:f>IF('Assumptions'!$E$123&lt;EOMONTH(F$6,0)+1,F167-F169,0)</x:f>
        <x:v>0</x:v>
      </x:c>
      <x:c r="G170" s="18" t="n">
        <x:f>IF('Assumptions'!$E$123&lt;EOMONTH(G$6,0)+1,G167-G169,0)</x:f>
        <x:v>0</x:v>
      </x:c>
      <x:c r="H170" s="18" t="n">
        <x:f>IF('Assumptions'!$E$123&lt;EOMONTH(H$6,0)+1,H167-H169,0)</x:f>
        <x:v>0</x:v>
      </x:c>
      <x:c r="I170" s="18" t="n">
        <x:f>IF('Assumptions'!$E$123&lt;EOMONTH(I$6,0)+1,I167-I169,0)</x:f>
        <x:v>0</x:v>
      </x:c>
      <x:c r="J170" s="18" t="n">
        <x:f>IF('Assumptions'!$E$123&lt;EOMONTH(J$6,0)+1,J167-J169,0)</x:f>
        <x:v>0</x:v>
      </x:c>
      <x:c r="K170" s="18" t="n">
        <x:f>IF('Assumptions'!$E$123&lt;EOMONTH(K$6,0)+1,K167-K169,0)</x:f>
        <x:v>0</x:v>
      </x:c>
      <x:c r="L170" s="18" t="n">
        <x:f>IF('Assumptions'!$E$123&lt;EOMONTH(L$6,0)+1,L167-L169,0)</x:f>
        <x:v>0</x:v>
      </x:c>
      <x:c r="M170" s="18" t="n">
        <x:f>IF('Assumptions'!$E$123&lt;EOMONTH(M$6,0)+1,M167-M169,0)</x:f>
        <x:v>0</x:v>
      </x:c>
      <x:c r="N170" s="18" t="n">
        <x:f>IF('Assumptions'!$E$123&lt;EOMONTH(N$6,0)+1,N167-N169,0)</x:f>
        <x:v>0</x:v>
      </x:c>
      <x:c r="O170" s="18" t="n">
        <x:f>IF('Assumptions'!$E$123&lt;EOMONTH(O$6,0)+1,O167-O169,0)</x:f>
        <x:v>0</x:v>
      </x:c>
      <x:c r="P170" s="18" t="n">
        <x:f>IF('Assumptions'!$E$123&lt;EOMONTH(P$6,0)+1,P167-P169,0)</x:f>
        <x:v>0</x:v>
      </x:c>
      <x:c r="Q170" s="18" t="n">
        <x:f>IF('Assumptions'!$E$123&lt;EOMONTH(Q$6,0)+1,Q167-Q169,0)</x:f>
        <x:v>9816.516109545013</x:v>
      </x:c>
    </x:row>
    <x:row r="171" ht="21" customHeight="1">
      <x:c r="A171" s="1"/>
      <x:c r="B171" s="1"/>
      <x:c r="C171" s="1" t="str">
        <x:v>Closing credit balance</x:v>
      </x:c>
      <x:c r="D171" s="18" t="n">
        <x:f>Q171</x:f>
        <x:v>0</x:v>
      </x:c>
      <x:c r="E171" s="18"/>
      <x:c r="F171" s="18" t="n">
        <x:f>F167-SUM(F169,F170)</x:f>
        <x:v>9993.95</x:v>
      </x:c>
      <x:c r="G171" s="18" t="n">
        <x:f>G167-SUM(G169,G170)</x:f>
        <x:v>9987.150000000001</x:v>
      </x:c>
      <x:c r="H171" s="18" t="n">
        <x:f>H167-SUM(H169,H170)</x:f>
        <x:v>9979.2241494528</x:v>
      </x:c>
      <x:c r="I171" s="18" t="n">
        <x:f>I167-SUM(I169,I170)</x:f>
        <x:v>9969.733012328801</x:v>
      </x:c>
      <x:c r="J171" s="18" t="n">
        <x:f>J167-SUM(J169,J170)</x:f>
        <x:v>9958.809481551201</x:v>
      </x:c>
      <x:c r="K171" s="18" t="n">
        <x:f>K167-SUM(K169,K170)</x:f>
        <x:v>9944.5833425464</x:v>
      </x:c>
      <x:c r="L171" s="18" t="n">
        <x:f>L167-SUM(L169,L170)</x:f>
        <x:v>9927.993812549601</x:v>
      </x:c>
      <x:c r="M171" s="18" t="n">
        <x:f>M167-SUM(M169,M170)</x:f>
        <x:v>9908.067004341601</x:v>
      </x:c>
      <x:c r="N171" s="18" t="n">
        <x:f>N167-SUM(N169,N170)</x:f>
        <x:v>9885.9883743768</x:v>
      </x:c>
      <x:c r="O171" s="18" t="n">
        <x:f>O167-SUM(O169,O170)</x:f>
        <x:v>9860.4945227576</x:v>
      </x:c>
      <x:c r="P171" s="18" t="n">
        <x:f>P167-SUM(P169,P170)</x:f>
        <x:v>9832.1490806008</x:v>
      </x:c>
      <x:c r="Q171" s="18" t="n">
        <x:f>Q167-SUM(Q169,Q170)</x:f>
        <x:v>0</x:v>
      </x:c>
    </x:row>
    <x:row r="172" ht="21" customHeight="1">
      <x:c r="A172" s="1"/>
      <x:c r="B172" s="1"/>
      <x:c r="C172" s="1" t="str">
        <x:v>Cloudflare cash after credit (USD)</x:v>
      </x:c>
      <x:c r="D172" s="18" t="n">
        <x:f>SUM(F172:Q172)</x:f>
        <x:v>11.954624925013334</x:v>
      </x:c>
      <x:c r="E172" s="18"/>
      <x:c r="F172" s="18" t="n">
        <x:f>MAX(0,F146-F169)</x:f>
        <x:v>0</x:v>
      </x:c>
      <x:c r="G172" s="18" t="n">
        <x:f>MAX(0,G146-G169)</x:f>
        <x:v>0</x:v>
      </x:c>
      <x:c r="H172" s="18" t="n">
        <x:f>MAX(0,H146-H169)</x:f>
        <x:v>8.881784197001252e-16</x:v>
      </x:c>
      <x:c r="I172" s="18" t="n">
        <x:f>MAX(0,I146-I169)</x:f>
        <x:v>0</x:v>
      </x:c>
      <x:c r="J172" s="18" t="n">
        <x:f>MAX(0,J146-J169)</x:f>
        <x:v>1.7763568394002505e-15</x:v>
      </x:c>
      <x:c r="K172" s="18" t="n">
        <x:f>MAX(0,K146-K169)</x:f>
        <x:v>0</x:v>
      </x:c>
      <x:c r="L172" s="18" t="n">
        <x:f>MAX(0,L146-L169)</x:f>
        <x:v>0</x:v>
      </x:c>
      <x:c r="M172" s="18" t="n">
        <x:f>MAX(0,M146-M169)</x:f>
        <x:v>0</x:v>
      </x:c>
      <x:c r="N172" s="18" t="n">
        <x:f>MAX(0,N146-N169)</x:f>
        <x:v>0</x:v>
      </x:c>
      <x:c r="O172" s="18" t="n">
        <x:f>MAX(0,O146-O169)</x:f>
        <x:v>0</x:v>
      </x:c>
      <x:c r="P172" s="18" t="n">
        <x:f>MAX(0,P146-P169)</x:f>
        <x:v>0</x:v>
      </x:c>
      <x:c r="Q172" s="18" t="n">
        <x:f>MAX(0,Q146-Q169)</x:f>
        <x:v>11.95462492501333</x:v>
      </x:c>
    </x:row>
    <x:row r="173" ht="21" customHeight="1">
      <x:c r="A173" s="1"/>
      <x:c r="B173" s="1"/>
      <x:c r="C173" s="1" t="str">
        <x:v>Provider/tool cash after credit (GBP)</x:v>
      </x:c>
      <x:c r="D173" s="31" t="n">
        <x:f>SUM(F173:Q173)</x:f>
        <x:v>569.06596869376</x:v>
      </x:c>
      <x:c r="E173" s="31"/>
      <x:c r="F173" s="31" t="n">
        <x:f>SUM(F172,F148,F149)*'Assumptions'!$E$126</x:f>
        <x:v>33</x:v>
      </x:c>
      <x:c r="G173" s="31" t="n">
        <x:f>SUM(G172,G148,G149)*'Assumptions'!$E$126</x:f>
        <x:v>34.5</x:v>
      </x:c>
      <x:c r="H173" s="31" t="n">
        <x:f>SUM(H172,H148,H149)*'Assumptions'!$E$126</x:f>
        <x:v>36.599999999999994</x:v>
      </x:c>
      <x:c r="I173" s="31" t="n">
        <x:f>SUM(I172,I148,I149)*'Assumptions'!$E$126</x:f>
        <x:v>39</x:v>
      </x:c>
      <x:c r="J173" s="31" t="n">
        <x:f>SUM(J172,J148,J149)*'Assumptions'!$E$126</x:f>
        <x:v>42</x:v>
      </x:c>
      <x:c r="K173" s="31" t="n">
        <x:f>SUM(K172,K148,K149)*'Assumptions'!$E$126</x:f>
        <x:v>45</x:v>
      </x:c>
      <x:c r="L173" s="31" t="n">
        <x:f>SUM(L172,L148,L149)*'Assumptions'!$E$126</x:f>
        <x:v>48</x:v>
      </x:c>
      <x:c r="M173" s="31" t="n">
        <x:f>SUM(M172,M148,M149)*'Assumptions'!$E$126</x:f>
        <x:v>51</x:v>
      </x:c>
      <x:c r="N173" s="31" t="n">
        <x:f>SUM(N172,N148,N149)*'Assumptions'!$E$126</x:f>
        <x:v>54</x:v>
      </x:c>
      <x:c r="O173" s="31" t="n">
        <x:f>SUM(O172,O148,O149)*'Assumptions'!$E$126</x:f>
        <x:v>57</x:v>
      </x:c>
      <x:c r="P173" s="31" t="n">
        <x:f>SUM(P172,P148,P149)*'Assumptions'!$E$126</x:f>
        <x:v>60</x:v>
      </x:c>
      <x:c r="Q173" s="31" t="n">
        <x:f>SUM(Q172,Q148,Q149)*'Assumptions'!$E$126</x:f>
        <x:v>68.96596869376</x:v>
      </x:c>
    </x:row>
    <x:row r="174" ht="24" customHeight="1">
      <x:c r="A174" s="1"/>
      <x:c r="B174" s="1"/>
      <x:c r="C174" s="17" t="str">
        <x:v>Forecast review</x:v>
      </x:c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</x:row>
    <x:row r="175" ht="21" customHeight="1">
      <x:c r="A175" s="1"/>
      <x:c r="B175" s="1"/>
      <x:c r="C175" s="1" t="str">
        <x:v>User-share total less 100%</x:v>
      </x:c>
      <x:c r="D175" s="20" t="n">
        <x:f>Q175</x:f>
        <x:v>0</x:v>
      </x:c>
      <x:c r="E175" s="20"/>
      <x:c r="F175" s="20" t="n">
        <x:f>'Assumptions'!$E$24-1</x:f>
        <x:v>0</x:v>
      </x:c>
      <x:c r="G175" s="20" t="n">
        <x:f>'Assumptions'!$E$24-1</x:f>
        <x:v>0</x:v>
      </x:c>
      <x:c r="H175" s="20" t="n">
        <x:f>'Assumptions'!$E$24-1</x:f>
        <x:v>0</x:v>
      </x:c>
      <x:c r="I175" s="20" t="n">
        <x:f>'Assumptions'!$E$24-1</x:f>
        <x:v>0</x:v>
      </x:c>
      <x:c r="J175" s="20" t="n">
        <x:f>'Assumptions'!$E$24-1</x:f>
        <x:v>0</x:v>
      </x:c>
      <x:c r="K175" s="20" t="n">
        <x:f>'Assumptions'!$E$24-1</x:f>
        <x:v>0</x:v>
      </x:c>
      <x:c r="L175" s="20" t="n">
        <x:f>'Assumptions'!$E$24-1</x:f>
        <x:v>0</x:v>
      </x:c>
      <x:c r="M175" s="20" t="n">
        <x:f>'Assumptions'!$E$24-1</x:f>
        <x:v>0</x:v>
      </x:c>
      <x:c r="N175" s="20" t="n">
        <x:f>'Assumptions'!$E$24-1</x:f>
        <x:v>0</x:v>
      </x:c>
      <x:c r="O175" s="20" t="n">
        <x:f>'Assumptions'!$E$24-1</x:f>
        <x:v>0</x:v>
      </x:c>
      <x:c r="P175" s="20" t="n">
        <x:f>'Assumptions'!$E$24-1</x:f>
        <x:v>0</x:v>
      </x:c>
      <x:c r="Q175" s="20" t="n">
        <x:f>'Assumptions'!$E$24-1</x:f>
        <x:v>0</x:v>
      </x:c>
    </x:row>
    <x:row r="176">
      <x:c r="C176" t="str">
        <x:v>Peak above legacy 20-instance cap</x:v>
      </x:c>
      <x:c r="D176" s="33" t="n">
        <x:f>MAX(F176:Q176)</x:f>
        <x:v>0</x:v>
      </x:c>
      <x:c r="E176" s="34"/>
      <x:c r="F176" s="34" t="n">
        <x:f>MAX(0,F15-'Assumptions'!$E$185)</x:f>
        <x:v>0</x:v>
      </x:c>
      <x:c r="G176" s="34" t="n">
        <x:f>MAX(0,G15-'Assumptions'!$E$185)</x:f>
        <x:v>0</x:v>
      </x:c>
      <x:c r="H176" s="34" t="n">
        <x:f>MAX(0,H15-'Assumptions'!$E$185)</x:f>
        <x:v>0</x:v>
      </x:c>
      <x:c r="I176" s="34" t="n">
        <x:f>MAX(0,I15-'Assumptions'!$E$185)</x:f>
        <x:v>0</x:v>
      </x:c>
      <x:c r="J176" s="34" t="n">
        <x:f>MAX(0,J15-'Assumptions'!$E$185)</x:f>
        <x:v>0</x:v>
      </x:c>
      <x:c r="K176" s="34" t="n">
        <x:f>MAX(0,K15-'Assumptions'!$E$185)</x:f>
        <x:v>0</x:v>
      </x:c>
      <x:c r="L176" s="34" t="n">
        <x:f>MAX(0,L15-'Assumptions'!$E$185)</x:f>
        <x:v>0</x:v>
      </x:c>
      <x:c r="M176" s="34" t="n">
        <x:f>MAX(0,M15-'Assumptions'!$E$185)</x:f>
        <x:v>0</x:v>
      </x:c>
      <x:c r="N176" s="34" t="n">
        <x:f>MAX(0,N15-'Assumptions'!$E$185)</x:f>
        <x:v>0</x:v>
      </x:c>
      <x:c r="O176" s="34" t="n">
        <x:f>MAX(0,O15-'Assumptions'!$E$185)</x:f>
        <x:v>0</x:v>
      </x:c>
      <x:c r="P176" s="34" t="n">
        <x:f>MAX(0,P15-'Assumptions'!$E$185)</x:f>
        <x:v>0</x:v>
      </x:c>
      <x:c r="Q176" s="34" t="n">
        <x:f>MAX(0,Q15-'Assumptions'!$E$185)</x:f>
        <x:v>0</x:v>
      </x:c>
    </x:row>
  </x:sheetData>
  <x:conditionalFormatting sqref="F175:Q175">
    <x:cfRule type="cellIs" dxfId="0" priority="1" operator="notEqual">
      <x:formula>0</x:formula>
    </x:cfRule>
  </x:conditionalFormatting>
  <x:conditionalFormatting sqref="F176:Q176">
    <x:cfRule type="cellIs" dxfId="1" priority="2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6" hidden="0" customWidth="1"/>
    <x:col min="5" max="5" width="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1" customHeight="1">
      <x:c r="A2" s="1"/>
      <x:c r="B2" s="1"/>
      <x:c r="C2" s="2" t="str">
        <x:v>Mezair Cloud Agents economics</x:v>
      </x:c>
      <x:c r="D2" s="1"/>
      <x:c r="E2" s="1"/>
      <x:c r="F2" s="1"/>
      <x:c r="G2" s="1"/>
      <x:c r="H2" s="1"/>
      <x:c r="I2" s="1"/>
    </x:row>
    <x:row r="3" ht="21" customHeight="1">
      <x:c r="A3" s="1"/>
      <x:c r="B3" s="1"/>
      <x:c r="C3" s="3"/>
      <x:c r="D3" s="3"/>
      <x:c r="E3" s="3"/>
      <x:c r="F3" s="3"/>
      <x:c r="G3" s="3"/>
      <x:c r="H3" s="3"/>
      <x:c r="I3" s="3"/>
      <x:c r="J3" s="9"/>
      <x:c r="K3" s="9"/>
      <x:c r="L3" s="9"/>
      <x:c r="M3" s="9"/>
      <x:c r="N3" s="9"/>
      <x:c r="O3" s="9"/>
      <x:c r="P3" s="9"/>
      <x:c r="Q3" s="9"/>
    </x:row>
    <x:row r="4" ht="21" customHeight="1">
      <x:c r="A4" s="1"/>
      <x:c r="B4" s="1"/>
      <x:c r="C4" s="1" t="str">
        <x:v>Case selected:</x:v>
      </x:c>
      <x:c r="D4" s="1"/>
      <x:c r="E4" s="1"/>
      <x:c r="F4" s="5" t="str">
        <x:f>'Assumptions'!F4</x:f>
        <x:v>Host-local full scope</x:v>
      </x:c>
      <x:c r="G4" s="6"/>
      <x:c r="H4" s="6"/>
      <x:c r="I4" s="7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4" customHeight="1">
      <x:c r="A6" s="1"/>
      <x:c r="B6" s="1"/>
      <x:c r="C6" s="17" t="str">
        <x:v>Illustrative standard-1 execution</x:v>
      </x:c>
      <x:c r="D6" s="17"/>
      <x:c r="E6" s="17"/>
      <x:c r="F6" s="17"/>
      <x:c r="G6" s="17"/>
      <x:c r="H6" s="17"/>
      <x:c r="I6" s="17"/>
    </x:row>
    <x:row r="7" ht="21" customHeight="1">
      <x:c r="A7" s="1"/>
      <x:c r="B7" s="1"/>
      <x:c r="C7" s="1" t="str">
        <x:v>Running hours per billed hour</x:v>
      </x:c>
      <x:c r="D7" s="1"/>
      <x:c r="E7" s="1"/>
      <x:c r="F7" s="35" t="n">
        <x:f>1+'Assumptions'!$E$171</x:f>
        <x:v>1.25</x:v>
      </x:c>
      <x:c r="G7" s="1"/>
      <x:c r="H7" s="1"/>
      <x:c r="I7" s="1"/>
    </x:row>
    <x:row r="8" ht="21" customHeight="1">
      <x:c r="A8" s="1"/>
      <x:c r="B8" s="1"/>
      <x:c r="C8" s="1" t="str">
        <x:v>CPU USD per running hour</x:v>
      </x:c>
      <x:c r="D8" s="1"/>
      <x:c r="E8" s="1"/>
      <x:c r="F8" s="36" t="n">
        <x:f>'Assumptions'!$E$167*'Assumptions'!$E$170*'Assumptions'!$E$222</x:f>
        <x:v>0.009</x:v>
      </x:c>
      <x:c r="G8" s="1"/>
      <x:c r="H8" s="1"/>
      <x:c r="I8" s="1"/>
    </x:row>
    <x:row r="9" ht="21" customHeight="1">
      <x:c r="A9" s="1"/>
      <x:c r="B9" s="1"/>
      <x:c r="C9" s="1" t="str">
        <x:v>Memory USD per running hour</x:v>
      </x:c>
      <x:c r="D9" s="1"/>
      <x:c r="E9" s="1"/>
      <x:c r="F9" s="36" t="n">
        <x:f>'Assumptions'!$E$168*'Assumptions'!$E$224</x:f>
        <x:v>0.036</x:v>
      </x:c>
      <x:c r="G9" s="1"/>
      <x:c r="H9" s="1"/>
      <x:c r="I9" s="1"/>
    </x:row>
    <x:row r="10" ht="21" customHeight="1">
      <x:c r="A10" s="1"/>
      <x:c r="B10" s="1"/>
      <x:c r="C10" s="1" t="str">
        <x:v>Disk USD per running hour</x:v>
      </x:c>
      <x:c r="D10" s="1"/>
      <x:c r="E10" s="1"/>
      <x:c r="F10" s="36" t="n">
        <x:f>'Assumptions'!$E$169*'Assumptions'!$E$226</x:f>
        <x:v>0.002016</x:v>
      </x:c>
      <x:c r="G10" s="1"/>
      <x:c r="H10" s="1"/>
      <x:c r="I10" s="1"/>
    </x:row>
    <x:row r="11" ht="21" customHeight="1">
      <x:c r="A11" s="1"/>
      <x:c r="B11" s="1"/>
      <x:c r="C11" s="1" t="str">
        <x:v>Container USD per running hour</x:v>
      </x:c>
      <x:c r="D11" s="1"/>
      <x:c r="E11" s="1"/>
      <x:c r="F11" s="37" t="n">
        <x:f>SUM(F8:F10)</x:f>
        <x:v>0.047015999999999995</x:v>
      </x:c>
      <x:c r="G11" s="1"/>
      <x:c r="H11" s="1"/>
      <x:c r="I11" s="1"/>
    </x:row>
    <x:row r="12" ht="21" customHeight="1">
      <x:c r="A12" s="1"/>
      <x:c r="B12" s="1"/>
      <x:c r="C12" s="1" t="str">
        <x:v>Control and egress USD/running hour</x:v>
      </x:c>
      <x:c r="D12" s="1"/>
      <x:c r="E12" s="1"/>
      <x:c r="F12" s="36" t="n">
        <x:f>'Assumptions'!$E$172/1000000*('Assumptions'!$E$190+'Assumptions'!$E$135*'Assumptions'!$E$192)+'Assumptions'!$E$173/1000000*'Assumptions'!$E$194+3600*'Assumptions'!$E$138/1000000*'Assumptions'!$E$196+'Assumptions'!$E$174/1000000*'Assumptions'!$E$200+'Assumptions'!$E$175/1000000*'Assumptions'!$E$198+'Assumptions'!$E$177*'Assumptions'!$E$228+'Assumptions'!$E$176*('Assumptions'!$E$218+'Assumptions'!$E$143/30*'Assumptions'!$E$220)</x:f>
        <x:v>0.010053333333333334</x:v>
      </x:c>
      <x:c r="G12" s="1"/>
      <x:c r="H12" s="1"/>
      <x:c r="I12" s="1"/>
    </x:row>
    <x:row r="13" ht="21" customHeight="1">
      <x:c r="A13" s="1"/>
      <x:c r="B13" s="1"/>
      <x:c r="C13" s="1" t="str">
        <x:v>GBP cost per billed hour</x:v>
      </x:c>
      <x:c r="D13" s="1"/>
      <x:c r="E13" s="1"/>
      <x:c r="F13" s="38" t="n">
        <x:f>SUM(F11,F12)*F7*'Assumptions'!$E$126</x:f>
        <x:v>0.053502499999999995</x:v>
      </x:c>
      <x:c r="G13" s="1"/>
      <x:c r="H13" s="1"/>
      <x:c r="I13" s="1"/>
    </x:row>
    <x:row r="14" ht="21" customHeight="1">
      <x:c r="A14" s="1"/>
      <x:c r="B14" s="1"/>
      <x:c r="C14" s="1" t="str">
        <x:v>Revenue per buyer/month</x:v>
      </x:c>
      <x:c r="D14" s="1"/>
      <x:c r="E14" s="1"/>
      <x:c r="F14" s="40" t="n">
        <x:f>'Assumptions'!$E$165*'Assumptions'!$E$166</x:f>
        <x:v>10</x:v>
      </x:c>
      <x:c r="G14" s="1"/>
      <x:c r="H14" s="1"/>
      <x:c r="I14" s="1"/>
    </x:row>
    <x:row r="15" ht="21" customHeight="1">
      <x:c r="A15" s="1"/>
      <x:c r="B15" s="1"/>
      <x:c r="C15" s="1" t="str">
        <x:v>Provider cost per buyer/month</x:v>
      </x:c>
      <x:c r="D15" s="1"/>
      <x:c r="E15" s="1"/>
      <x:c r="F15" s="40" t="n">
        <x:f>'Assumptions'!$E$165*F13</x:f>
        <x:v>1.07005</x:v>
      </x:c>
      <x:c r="G15" s="1"/>
      <x:c r="H15" s="1"/>
      <x:c r="I15" s="1"/>
    </x:row>
    <x:row r="16" ht="21" customHeight="1">
      <x:c r="A16" s="1"/>
      <x:c r="B16" s="1"/>
      <x:c r="C16" s="1" t="str">
        <x:v>Fees and refund reserve/buyer</x:v>
      </x:c>
      <x:c r="D16" s="1"/>
      <x:c r="E16" s="1"/>
      <x:c r="F16" s="40" t="n">
        <x:f>F14*('Assumptions'!$E$178+'Assumptions'!$E$179/'Assumptions'!$E$180+'Assumptions'!$E$181+'Assumptions'!$E$182)</x:f>
        <x:v>0.52</x:v>
      </x:c>
      <x:c r="G16" s="1"/>
      <x:c r="H16" s="1"/>
      <x:c r="I16" s="1"/>
    </x:row>
    <x:row r="17" ht="21" customHeight="1">
      <x:c r="A17" s="1"/>
      <x:c r="B17" s="1"/>
      <x:c r="C17" s="1" t="str">
        <x:v>Allocated support per buyer</x:v>
      </x:c>
      <x:c r="D17" s="1"/>
      <x:c r="E17" s="1"/>
      <x:c r="F17" s="40" t="n">
        <x:f>'Assumptions'!$E$183</x:f>
        <x:v>0.25</x:v>
      </x:c>
      <x:c r="G17" s="1"/>
      <x:c r="H17" s="1"/>
      <x:c r="I17" s="1"/>
    </x:row>
    <x:row r="18" ht="21" customHeight="1">
      <x:c r="A18" s="1"/>
      <x:c r="B18" s="1"/>
      <x:c r="C18" s="1" t="str">
        <x:v>Marginal contribution per buyer</x:v>
      </x:c>
      <x:c r="D18" s="1"/>
      <x:c r="E18" s="1"/>
      <x:c r="F18" s="43" t="n">
        <x:f>F14-SUM(F15:F17)</x:f>
        <x:v>8.15995</x:v>
      </x:c>
      <x:c r="G18" s="1"/>
      <x:c r="H18" s="1"/>
      <x:c r="I18" s="1"/>
    </x:row>
    <x:row r="19" ht="21" customHeight="1">
      <x:c r="A19" s="1"/>
      <x:c r="B19" s="1"/>
      <x:c r="C19" s="1" t="str">
        <x:v>Contribution margin</x:v>
      </x:c>
      <x:c r="D19" s="1"/>
      <x:c r="E19" s="1"/>
      <x:c r="F19" s="20" t="n">
        <x:f>IF(F14=0,"n.a.",F18/F14)</x:f>
        <x:v>0.815995</x:v>
      </x:c>
      <x:c r="G19" s="1"/>
      <x:c r="H19" s="1"/>
      <x:c r="I19" s="1"/>
    </x:row>
    <x:row r="20" ht="21" customHeight="1">
      <x:c r="A20" s="1"/>
      <x:c r="B20" s="1"/>
      <x:c r="C20" s="1" t="str">
        <x:v>Month-12 buyers to fund external spend</x:v>
      </x:c>
      <x:c r="D20" s="1"/>
      <x:c r="E20" s="1"/>
      <x:c r="F20" s="41" t="n">
        <x:f>IF(F18&lt;=0,"n.a.",ROUNDUP('Forecast'!Q150/F18,0))</x:f>
        <x:v>10</x:v>
      </x:c>
      <x:c r="G20" s="1"/>
      <x:c r="H20" s="1"/>
      <x:c r="I20" s="1"/>
    </x:row>
    <x:row r="21" ht="21" customHeight="1">
      <x:c r="A21" s="1"/>
      <x:c r="B21" s="1"/>
      <x:c r="C21" s="1" t="str">
        <x:v>Month-12 buyers to fund recurring total</x:v>
      </x:c>
      <x:c r="D21" s="1"/>
      <x:c r="E21" s="1"/>
      <x:c r="F21" s="41" t="n">
        <x:f>IF(F18&lt;=0,"n.a.",ROUNDUP(('Forecast'!Q162-'Forecast'!Q161)/F18,0))</x:f>
        <x:v>197</x:v>
      </x:c>
      <x:c r="G21" s="1"/>
      <x:c r="H21" s="1"/>
      <x:c r="I21" s="1"/>
    </x:row>
    <x:row r="22" ht="21" customHeight="1">
      <x:c r="A22" s="1"/>
      <x:c r="B22" s="1"/>
      <x:c r="C22" s="1" t="str">
        <x:v>External-spend break-even conversion</x:v>
      </x:c>
      <x:c r="D22" s="1"/>
      <x:c r="E22" s="1"/>
      <x:c r="F22" s="42" t="n">
        <x:f>IF('Forecast'!Q8=0,"n.a.",F20/'Forecast'!Q8)</x:f>
        <x:v>0.0025</x:v>
      </x:c>
      <x:c r="G22" s="1"/>
      <x:c r="H22" s="1"/>
      <x:c r="I22" s="1"/>
    </x:row>
    <x:row r="23" ht="21" customHeight="1">
      <x:c r="A23" s="1"/>
      <x:c r="B23" s="1"/>
      <x:c r="C23" s="1" t="str">
        <x:v>Recurring-total break-even conversion</x:v>
      </x:c>
      <x:c r="D23" s="1"/>
      <x:c r="E23" s="1"/>
      <x:c r="F23" s="42" t="n">
        <x:f>IF('Forecast'!Q8=0,"n.a.",F21/'Forecast'!Q8)</x:f>
        <x:v>0.04925</x:v>
      </x:c>
      <x:c r="G23" s="1"/>
      <x:c r="H23" s="1"/>
      <x:c r="I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1" customHeight="1">
      <x:c r="A29" s="1"/>
      <x:c r="B29" s="1"/>
      <x:c r="C29" s="44" t="str">
        <x:v>Snapshot pricing, taxes, paid launch engineering and higher support are excluded.</x:v>
      </x:c>
      <x:c r="D29" s="44"/>
      <x:c r="E29" s="44"/>
      <x:c r="F29" s="44"/>
      <x:c r="G29" s="44"/>
      <x:c r="H29" s="44"/>
      <x:c r="I29" s="44"/>
    </x:row>
    <x:row r="30" ht="21" customHeight="1">
      <x:c r="A30" s="1"/>
      <x:c r="B30" s="1"/>
      <x:c r="C30" s="44" t="str">
        <x:v>Hourly price is illustrative. Shared allowances are applied once in Forecast.</x:v>
      </x:c>
      <x:c r="D30" s="44"/>
      <x:c r="E30" s="44"/>
      <x:c r="F30" s="44"/>
      <x:c r="G30" s="44"/>
      <x:c r="H30" s="44"/>
      <x:c r="I30" s="44"/>
    </x:row>
    <x:row r="31" ht="21" customHeight="1">
      <x:c r="A31" s="1"/>
      <x:c r="B31" s="1"/>
      <x:c r="C31" s="44" t="str">
        <x:v>Launch stays disabled until Assumptions launch month is changed from zero.</x:v>
      </x:c>
      <x:c r="D31" s="44"/>
      <x:c r="E31" s="44"/>
      <x:c r="F31" s="44"/>
      <x:c r="G31" s="44"/>
      <x:c r="H31" s="44"/>
      <x:c r="I31" s="44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